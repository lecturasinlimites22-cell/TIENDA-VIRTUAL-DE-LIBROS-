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idor Principal" sheetId="1" r:id="rId4"/>
    <sheet state="visible" name="Teclado Mouse Servidor" sheetId="2" r:id="rId5"/>
    <sheet state="visible" name="Monitores de Servidor" sheetId="3" r:id="rId6"/>
    <sheet state="visible" name="Equipo de desarrollo" sheetId="4" r:id="rId7"/>
    <sheet state="visible" name="Equipo de administrador" sheetId="5" r:id="rId8"/>
    <sheet state="visible" name="Equipo de usuarios" sheetId="6" r:id="rId9"/>
    <sheet state="visible" name="  " sheetId="7" r:id="rId10"/>
    <sheet state="visible" name="Software de Microsoft Office" sheetId="8" r:id="rId11"/>
    <sheet state="visible" name="Licencia de Windows 10 pro" sheetId="9" r:id="rId12"/>
    <sheet state="visible" name="Licencia de Adobe Ilustrator" sheetId="10" r:id="rId13"/>
    <sheet state="visible" name="Antivirus Mcafe" sheetId="11" r:id="rId14"/>
    <sheet state="visible" name="Visual Studio" sheetId="12" r:id="rId15"/>
  </sheets>
  <definedNames/>
  <calcPr/>
  <extLst>
    <ext uri="GoogleSheetsCustomDataVersion2">
      <go:sheetsCustomData xmlns:go="http://customooxmlschemas.google.com/" r:id="rId16" roundtripDataChecksum="LmGwW8yMHNI6tV+Lrg66t2v7zuOWPKahdgSjG1xTVD4="/>
    </ext>
  </extLst>
</workbook>
</file>

<file path=xl/sharedStrings.xml><?xml version="1.0" encoding="utf-8"?>
<sst xmlns="http://schemas.openxmlformats.org/spreadsheetml/2006/main" count="390" uniqueCount="218">
  <si>
    <t>CUADRO DE COTIZACIONES</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</si>
  <si>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</si>
  <si>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</si>
  <si>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</si>
  <si>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</si>
  <si>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</si>
  <si>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</si>
  <si>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</si>
  <si>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</si>
  <si>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</si>
  <si>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</si>
  <si>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</si>
  <si>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</si>
  <si>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Mercado Libre</t>
  </si>
  <si>
    <r>
      <rPr>
        <rFont val="Arial"/>
        <color theme="10"/>
        <sz val="10.0"/>
        <u/>
      </rPr>
      <t>URL:</t>
    </r>
    <r>
      <rPr>
        <rFont val="Arial"/>
        <color theme="10"/>
        <sz val="10.0"/>
        <u/>
      </rPr>
      <t xml:space="preserve"> https://www.mercadolibre.com.co/servidor-dell-t160-poweredge-ram-16gb-2-tb/p/MCO48019875#polycard_client=search-nordic&amp;search_layout=grid&amp;position=1&amp;type=product&amp;tracking_id=7b3eae12-f0c8-4ffc-8858-b5119d232485&amp;wid=MCO2848485534&amp;sid=search</t>
    </r>
  </si>
  <si>
    <t>Servidor Torre PowerEdge T150</t>
  </si>
  <si>
    <t>Contado</t>
  </si>
  <si>
    <t>Capacidad total del módulo de memoria RAM: 16 GB.
Modelo del procesador: E-2414.
Línea del procesador: Xeon.
Marca del procesador: Intel.
Procesador Intel Xeon E-2414 para un rendimiento excepcional en cargas de trabajo exigentes.
Disco duro de 2 TB para gestionar grandes volúmenes de datos.
16 GB de RAM para un rendimiento fluido en aplicaciones críticas.
Diseñado como kit de fábrica para una instalación rápida y sencilla.</t>
  </si>
  <si>
    <t xml:space="preserve">Nº2 </t>
  </si>
  <si>
    <t>Lasus</t>
  </si>
  <si>
    <t>https://mymsystech.com.co/servidores/5173-servidor-del-ldell-poweredge-t150.html?srsltid=AfmBOoqGT6LZco1qLRd-pq5pkBBlz5232XmqPnSxJKe8Eoo-BWTXX8oZ</t>
  </si>
  <si>
    <t>Servidor Dell EMC PowerEdge T150</t>
  </si>
  <si>
    <t>SERVIDOR DELL POWEREDGE T150  Intel Xeon E-2324G 4C  16GB   1TB 7.2K
El servidor Dell PowerEdge T150 tiene un procesador  Intel Xeon E-2324G con una frecuencia base de 3.10 Ghz y frecuencia turbo máxima de 4.60 Ghz,  4 núcleos, 4 subprocesos.  8 Mb caché.  65W
Para el servidor Dell PowerEdge T150  la memoria es de 16GB UDIMM  3200 MT/s, ECC.
Disco en le servidor:  1TB 7.2k rpm  SATA 3.5'' HDD,  capacidad para 4 discos en el Dell PowerEdge T150
El servidor Dell PowerEdge T150 cuenta con administración iDRAC9, basic 15G. Power Supply  - NEMA 5-15P
Garantía 1 año estándar 5x10,  siguiente día hábil en el Dell PowerEdge T150</t>
  </si>
  <si>
    <t>Nº 3</t>
  </si>
  <si>
    <t>Technology Store</t>
  </si>
  <si>
    <t>https://lasus.com.co/es/servidor-de-torre-dell-poweredge-t350-con-procesador-intel-xeon-e-2378?utm_source=google&amp;utm_medium=cpc&amp;utm_campaign=6451544044&amp;utm_term=&amp;utm_content=482073522194</t>
  </si>
  <si>
    <t>El servidor de torre PowerEdge T350 de Dell ofrece un rendimiento excelente con su procesador Intel Xeon E-2378 y 16GB de RAM. Con un disco duro SATA de 2TB, 3 bahías de 3.5-8 HP, PERC H755 para control de almacenamiento y iDRAC9 Basic para administración remota, este servidor es ideal para diversas aplicaciones empresariales.</t>
  </si>
  <si>
    <t>N/A</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</si>
  <si>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</si>
  <si>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</si>
  <si>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</si>
  <si>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</si>
  <si>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</si>
  <si>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</si>
  <si>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</si>
  <si>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</si>
  <si>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</si>
  <si>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</si>
  <si>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Alkosto</t>
  </si>
  <si>
    <r>
      <rPr>
        <rFont val="Arial"/>
        <color rgb="FF000000"/>
        <sz val="10.0"/>
        <u/>
      </rPr>
      <t xml:space="preserve">
</t>
    </r>
    <r>
      <rPr>
        <rFont val="Arial"/>
        <color rgb="FF0000FF"/>
        <sz val="10.0"/>
        <u/>
      </rPr>
      <t>https://www.alkosto.com/combo-hp-alambrico-teclado-mouse-150-negro/p/195122875534</t>
    </r>
  </si>
  <si>
    <t>Combo mouse y teclado</t>
  </si>
  <si>
    <t>Diseño de teclado estilo isla. Liso y silencioso al tacto
Perfil bajo. Pulsaciones rápidas, cómodas y precisas
12 combinaciones de atajos con la tecla función
Diseño ergonómico. Se adapta a tu postura natural más cómoda
Haz clic muy rápido Gracias a la sencilla configuración USB</t>
  </si>
  <si>
    <t>https://www.mercadolibre.com.co/combo-teclado-mouse-inalambrico-genius-km-8206s-negro/p/MCO38266679#polycard_client=search-nordic&amp;search_layout=grid&amp;position=18&amp;type=product&amp;tracking_id=67cc2a59-83d6-4050-af4f-70867d0c4f47&amp;wid=MCO1489352363&amp;sid=search</t>
  </si>
  <si>
    <t>Idioma del teclado: Español.
Color del mouse: Negro.
Teclado de membrana con conexión USB 2.0 para una rápida y sencilla instalación.
Mouse óptico con resolución de 1200 dpi para precisión.
 Alcance inalámbrico del teclado de 3 m para mayor libertad de movimiento.
11 teclas programables en el teclado para personalización.
 Teclado con dimensiones de 43.5 cm de largo y 14 cm de ancho, equilibrado para uso cómodo.
Peso total de 480 g para una fácil portabilidad.</t>
  </si>
  <si>
    <t xml:space="preserve">Amazon </t>
  </si>
  <si>
    <t>https://www.amazon.com/-/es/Logitech-Combo-teclado-inal%C3%A1mbricos-Bluetooth/dp/B0F36RKWDH/ref=sr_1_1?crid=2MXLBBB1CUZ3C&amp;dib=eyJ2IjoiMSJ9.98-XYVJeR-1zIM61PqP9FfCEIs4ZQeIBHwwfkrWk1KY4Nb3qhaL0bg1bi2Lyzrz-k8UuNjfgAIig6zHmShpAwPkvi4lOH4o3muy0NCFOawphOqEbyDMcwDiArJY8zrVll-ut1KXHXXlHAHtbmGi5RXMZfz7q2_NI1MdDccpHoBujyDU8PLwPxcDPfwI_D3t0jgyCrQ16x9rQlyk6ls8guAdgZpBTT5_eMRP67v2bRRQ.F3_SaYvD7ygPG88_r1wg79oq2bgMIrnKSE-H4lLz690&amp;dib_tag=se&amp;keywords=combo%2Bde%2Bmouse%2By%2Bteclado&amp;qid=1764799801&amp;sprefix=combo%2Bde%2Bmause%2B%2Caps%2C181&amp;sr=8-1&amp;th=1</t>
  </si>
  <si>
    <t>Trust Taro Pack Teclado y Ratón con Cable - Disposición QWERTY Español, Cable de 1.8m, Conexión USB, Teclado Resistente a los Vertidos, Windows, Mac, PC, Ordenador Portátil, Negro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</si>
  <si>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</si>
  <si>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</si>
  <si>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</si>
  <si>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</si>
  <si>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</si>
  <si>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</si>
  <si>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</si>
  <si>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</si>
  <si>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</si>
  <si>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</si>
  <si>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Amazon</t>
  </si>
  <si>
    <t>amazon.es/LG-32MR50C-B-Velocidad-Resolution-Clasificación/dp/B0CKRVB58D/ref=sr_1_2?__mk_es_ES=ÅMÅŽÕÑ&amp;crid=2U26Y45D7K3SJ&amp;dib=eyJ2IjoiMSJ9.OycPMUY3rd8bC0Sa-GStjNnvRy_jRXpy9bOgIextOp2NvnE5_FNtTr_QYQI4vhX2UUS9h0ATEWKB9E2HEPx4HQrfs30RSgYIx-7yzDbJDqhPoON8JOgW9N7zVnv-PjW1hqCnKf7YAqrJ1xsNuX0T_fKph8t4LHpzHkThdZ54ngpR_pE4TBiwl1_PceO7eveUQWYUCQrEHQXS1j_Hv7VrI5C97ixo2wD9tAKEGt-OSmSVKjwWVAmvGV-0SwVmneSmjZk55N4uMag2DXmsp681dWcA_9TtghSvBb7VR-d-hLA.YwHZFB3nQhluP_QURnB7z_qFTq7BB1mzxAF9dMQg6wM&amp;dib_tag=se&amp;keywords=Monitor%2B32%2Bpulgadas%2Bmarca%2Blg%2Bfull%2BHD%2Bcon%2Btecnología%2BIPS&amp;qid=1764800631&amp;sprefix=monitor%2B32%2Bpulgadas%2Bmarca%2Blg%2Bfull%2Bhd%2Bcon%2Btecnología%2Bips%2Caps%2C230&amp;sr=8-2&amp;th=1</t>
  </si>
  <si>
    <t>Monitor 32 pulgadas marca lg full HD con tecnología IPS</t>
  </si>
  <si>
    <t xml:space="preserve">LG 32MR50C-B - Monitor Curvado, 32 Pulgadas, VA 3000:1, 1500R, 16:9, Velocidad 100 Hz, HDMIx2, Super Resolution+, AMD FreeSync Premium, Clasificación E, Negro </t>
  </si>
  <si>
    <t>https://www.alkosto.com/monitor-lg-gamer-https://www.alkosto.com/monitor-lg-gamer-32-pulgadas-32gs60qc-qhd-curvo-negro/p/880609610362332-pulgadas-32gs60qc-qhd-curvo-negro/p/8806096103623</t>
  </si>
  <si>
    <t>Monitor LG Gamer 32" Pulgadas 32GN55R Negro</t>
  </si>
  <si>
    <t>Pantalla
Pantalla curva QHD de 27 (2560 x 1440)
HDR10 / sRGB 99 % (típico)         Velocidad
Frecuencia de actualización de 180 Hz
Tiempo de respuesta de 1ms (GtG)Tecnología
VESA certified AdaptiveSync
AMD FreeSync™</t>
  </si>
  <si>
    <t>LG</t>
  </si>
  <si>
    <t>https://www.amazon.es/gp/aw/d/B0BYNVS3RP/?_encoding=UTF8&amp;pd_rd_plhdr=t&amp;aaxitk=83bf0fafa156c9e4004428791158046b&amp;hsa_cr_id=0&amp;qid=1765398050&amp;sr=1-2-e0fa1fdd-d857-4087-adda-5bd576b25987&amp;aref=OJdzi6kOxV&amp;ref_=sbx_s_sparkle_sbtcd_asin_1_img&amp;pd_rd_w=3wQ85&amp;content-id=amzn1.sym.4b9f096f-8599-402f-8225-de45f1b84474%3Aamzn1.sym.4b9f096f-8599-402f-8225-de45f1b84474&amp;pf_rd_p=4b9f096f-8599-402f-8225-de45f1b84474&amp;pf_rd_r=T1145MT5YE2XM7CSRK1B&amp;pd_rd_wg=5WMyr&amp;pd_rd_r=11260462-f511-4bb1-8fc1-fe3f28bf6057&amp;th=1</t>
  </si>
  <si>
    <t>Monitor 32" Gaming UltraGear Full HD 165Hz</t>
  </si>
  <si>
    <t xml:space="preserve">ViewSonic VA3209M Monitor 32 Pulgadas Full HD (1920p x 1080p), Panel IPS, 75 Hz, 4 ms GTG, diseño sin Marco, Altavoces duales, HDMI, VGA, 2 años de garantía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</si>
  <si>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</si>
  <si>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</si>
  <si>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</si>
  <si>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</si>
  <si>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</si>
  <si>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</si>
  <si>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</si>
  <si>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</si>
  <si>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</si>
  <si>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</si>
  <si>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https://www.alkosto.com/computador-all-in-one-acer-238-pulgadas-aio-c24-amd-ryzen/p/4711474560100</t>
  </si>
  <si>
    <t xml:space="preserve">
Computador De Escritorio Janus AMD RYZEN 7 5700G SSD 512GB M2 PCIE RAM 16GB RGB REF LIQUIDA 240MM NEGRA 121355
</t>
  </si>
  <si>
    <t>Acer VisionCare reduce la fatiga visual en largas jornadas
Flicker-less elimina el parpadeo para una visión más cómoda
Su bizel estrecho te brinda una pantalla realmente nítida
Entorno de trabajo seguro con Wi-Fi 6
Diseño compacto con pantalla Full HD e inmersión mejorada</t>
  </si>
  <si>
    <t>Tecnolosys</t>
  </si>
  <si>
    <r>
      <rPr>
        <rFont val="Trebuchet MS"/>
        <sz val="10.0"/>
      </rPr>
      <t xml:space="preserve">URL: </t>
    </r>
    <r>
      <rPr>
        <rFont val="Trebuchet MS"/>
        <color rgb="FF1155CC"/>
        <sz val="10.0"/>
        <u/>
      </rPr>
      <t>https://acortar.link/SxYliz</t>
    </r>
    <r>
      <rPr>
        <rFont val="Trebuchet MS"/>
        <sz val="10.0"/>
      </rPr>
      <t xml:space="preserve">
Dirección: CALLE 18 A 78 35 INT 4 OF 1116
Tel: 3144626472</t>
    </r>
  </si>
  <si>
    <t>Computador + Monitor Ryzen 7 5700g 16gb Ram Ddr4</t>
  </si>
  <si>
    <t xml:space="preserve">Línea de Producto: Computador Gamer de Escritorio
Modelo: PC Gamer Iceberg
Estado: Nuevo
Garantía: 1 Año
CARACTERÍSTICAS PRINCIPALES
Chasis ATX Iceberg Flow-E Negro
Board: BOARD B450M
Procesador: AMD Ryzen 7 5700G (8 núcleos de CPU / 16 subprocesos)
Video: AMD Radeon Graphics Integrados
RAM: 16 GB DDR4 3200
SSD M.2 NVMe 240GB
Sistema Operativo: Windows 11 / 10 (a elección del cliente)
Este equipo se entrega totalmente ensamblado y listo para su uso inmediato, con preinstalación de Office. + combo teclado mouse
</t>
  </si>
  <si>
    <t>https://www.mercadolibre.com.co/pc-gamer-rgb-ryzen-7-5700g-16gb-ddr4-1tb-ssd-monitor-24/up/MCOU3438969605#polycard_client=search-nordic&amp;search_layout=grid&amp;position=1&amp;type=product&amp;tracking_id=25242783-19ef-467b-b144-e4d67f53cb86&amp;wid=MCO3156419276&amp;sid=search</t>
  </si>
  <si>
    <t xml:space="preserve">
COMPUTADOR DE ESCRITORIO GAMER JANUS RYZEN 7 5700G
</t>
  </si>
  <si>
    <t>El computador gamer JANUS cuenta con un procesador AMD Ryzen 7 5700G de 8 núcleos y 16 subprocesos, con frecuencia base de 3.8GHz y turbo de 4.6GHz, 16GB de RAM DDR4 a 3200MHz, y almacenamiento SSD de 512GB. La placa madre es una B450M STEEL con capacidad máxima de RAM de 128GB y audio 7.1 canales HD. Viene en un chasis V900 de JANUS con 7 ventiladores ARGB, una fuente de poder de 550W reales, teclado y mouse inalámbricos de la misma marca, y refrigeración líquida de 240mm. Incluye sistema operativo Windows 10 versión de prueba por 30 días. + combo teclado mouse</t>
  </si>
  <si>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</si>
  <si>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</si>
  <si>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</si>
  <si>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</si>
  <si>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</si>
  <si>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</si>
  <si>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</si>
  <si>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</si>
  <si>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</si>
  <si>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Mercado libre</t>
  </si>
  <si>
    <t>https://articulo.mercadolibre.com.co/MCO-653804048-computador-intel-core-i7-11700-uhd-750-1tb-32gb-led-22-pc-_JM</t>
  </si>
  <si>
    <t>Computador De Escritorio Janus Intel I7 11700</t>
  </si>
  <si>
    <t>Procesador: Intel Core i7-11700 de undécima generación con una frecuencia base de 2,5 GHz y una frecuencia turbo de 4,8 GHz. Tiene 8 núcleos y 16 subprocesos, con 16MB de caché y una litografía de 14nm. También incluye gráficos integrados Intel® UHD Graphics 750.
Placa base: H510M.
Almacenamiento: Disco sólido de 512GB M.2 PCIe.
Memoria: DDR4 de 16GB.
Caja: ATX Janus RD-855.
Fuente de alimentación: 300W reales.
Combo de teclado y mouse: Alámbrico Janus.
Sistema operativo: Windows 10 versión de prueba por 30 días.</t>
  </si>
  <si>
    <t>https://www.alkosto.com/computador-all-in-one-lenovo-ideacentre-aio-27-pulgadas/p/198153841134</t>
  </si>
  <si>
    <t>Computador de escritorio I 7 11700</t>
  </si>
  <si>
    <t>Pantalla de alta definicion, imágenes mas nítidas.
Gráficos Intel UHD integrados
Audio de alta definición (HD), códec Realtek
Teclado y mouse inalámbrico, comodidad y elegancia
Variedad en Puertos para que conectes lo que quieras</t>
  </si>
  <si>
    <t>https://www.alkosto.com/computador-all-in-one-asus-27-v470vak-intel-core-i7-ram/p/4711636231053</t>
  </si>
  <si>
    <t xml:space="preserve">Marca del Procesador
INTEL 
Tipos de Discos que Incluye
Disco Estado Solido (SSD) 
Procesador
Intel Core I7 
Capacidad de Disco
Estado Solido SSD 1 TB 
Modelo del Procesador
Intel Core i7 - 13620H 
Número de Núcleos (más núcleos más multitareas)
8  Nucleos
Velocidad del Procesador
4.9GHz 
Memoria RAM
16 GB 
Sistema Operativo
Windows 
Version Sistema Operativo
Windows 11 Home 
Imagen y Pantalla
Tamaño Pantalla
27  Pulgadas
Resolucion Pantalla
Full HD 
Marca Tarjeta de Video/Grafica
No Tiene Tarjeta Video/Grafica Independiente 
Características Físicas
Tonalidad de Color
Negro 
Peso
9  Kilogramos
Unidad CD/DVD Integrada
No tiene Unidad de CD/DVD Integrada 
Caracteristicas del Teclado
Alfanumérico 
Convencional 
Inalámbrico 
Conectividad
Fuentes de Alimentacion de Energia
Energía Eléctrica 
Tipos de Puertos Entradas y Salidas
Puerto Auxiliar de Audio 
Puerto HDMI 
Puerto LAN/Ethernet 
Puerto USB 2.0 
Puerto USB Tipo C 
Salida de Audífonos 
Thunderbolt 4 
Opciones de Conectividad
Bluetooth 
WiFi 
No. Puertos HDMI
1  Puertos
No. Puertos LAN Ethernet
1  Puertos
No. Puertos USB
3  Puertos
No. Puertos USB tipo C
1  Puertos
No. Salidas de Audio
1  Puertos
Información Adicional Relevante
Linea Modelo Referencia
V470VAK-BPE025W 
Nivel de Tareas a Realizar
Avanzado 
Caracteristicas Especiales
Cámara WEB Integrada 
Qué incluye el producto
Incluye Mouse y Teclado inalámbrico 
Garantía
12  Meses
Aviso Legal
En Los computadores PORTATILES La duración de la batería es un valor aproximado y depende del uso que se le de al equipo. (Los computadores De escritorio NO tienen batería) 
Tipo de Computador
All in One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</si>
  <si>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</si>
  <si>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</si>
  <si>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i/>
        <color theme="1"/>
        <sz val="10.0"/>
      </rPr>
      <t>Empresa</t>
    </r>
    <r>
      <rPr>
        <rFont val="Trebuchet MS"/>
        <b val="0"/>
        <i/>
        <color theme="1"/>
        <sz val="8.0"/>
      </rPr>
      <t xml:space="preserve">
(Nombre fiscal de la empresa)</t>
    </r>
  </si>
  <si>
    <r>
      <rPr>
        <rFont val="Trebuchet MS"/>
        <b/>
        <i/>
        <color theme="1"/>
        <sz val="10.0"/>
      </rPr>
      <t>Nº de CUIT, Dirección, Teléfono</t>
    </r>
    <r>
      <rPr>
        <rFont val="Trebuchet MS"/>
        <b val="0"/>
        <i/>
        <color theme="1"/>
        <sz val="10.0"/>
      </rPr>
      <t xml:space="preserve">
</t>
    </r>
    <r>
      <rPr>
        <rFont val="Trebuchet MS"/>
        <b val="0"/>
        <i/>
        <color theme="1"/>
        <sz val="8.0"/>
      </rPr>
      <t>(Datos de la empresa)</t>
    </r>
  </si>
  <si>
    <r>
      <rPr>
        <rFont val="Trebuchet MS"/>
        <b/>
        <i/>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</si>
  <si>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i/>
        <color theme="1"/>
        <sz val="10.0"/>
      </rPr>
      <t xml:space="preserve">Importe Unitario
</t>
    </r>
    <r>
      <rPr>
        <rFont val="Trebuchet MS"/>
        <b val="0"/>
        <i/>
        <color theme="1"/>
        <sz val="8.0"/>
      </rPr>
      <t>(moneda nacional)</t>
    </r>
  </si>
  <si>
    <r>
      <rPr>
        <rFont val="Trebuchet MS"/>
        <b/>
        <i/>
        <color theme="1"/>
        <sz val="10.0"/>
        <u/>
      </rPr>
      <t xml:space="preserve">Importe Total
 IVA incluido
</t>
    </r>
    <r>
      <rPr>
        <rFont val="Trebuchet MS"/>
        <b val="0"/>
        <i/>
        <color theme="1"/>
        <sz val="8.0"/>
        <u/>
      </rPr>
      <t>(moneda nacional)</t>
    </r>
  </si>
  <si>
    <r>
      <rPr>
        <rFont val="Arial"/>
        <b/>
        <i/>
        <color theme="1"/>
        <sz val="10.0"/>
      </rPr>
      <t xml:space="preserve">Importe Total
</t>
    </r>
    <r>
      <rPr>
        <rFont val="Arial"/>
        <b val="0"/>
        <i/>
        <color theme="1"/>
        <sz val="8.0"/>
      </rPr>
      <t>(moneda extranjera)</t>
    </r>
  </si>
  <si>
    <r>
      <rPr>
        <rFont val="Trebuchet MS"/>
        <b/>
        <i/>
        <color theme="1"/>
        <sz val="10.0"/>
      </rPr>
      <t xml:space="preserve">Forma de Pago 
</t>
    </r>
    <r>
      <rPr>
        <rFont val="Trebuchet MS"/>
        <b val="0"/>
        <i/>
        <color theme="1"/>
        <sz val="8.0"/>
      </rPr>
      <t>(Contado o Cheque)</t>
    </r>
  </si>
  <si>
    <r>
      <rPr>
        <rFont val="Trebuchet MS"/>
        <b/>
        <i/>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</si>
  <si>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https://www.mercadolibre.com.co/cpu-dell-vostro-3681-ci5-10g-8256-sff/up/MCOU3544388762#polycard_client=search-nordic&amp;search_layout=grid&amp;position=3&amp;type=product&amp;tracking_id=a0b86e69-734a-41c0-8e04-9aca1e6b6b88&amp;wid=MCO3292675808&amp;sid=search</t>
  </si>
  <si>
    <t>Dell Vostro Desktop 3000 VOSTRO 3681 BLACK SFF I3-10105 4gb 1tb Monitor E1916HV 18,5</t>
  </si>
  <si>
    <t xml:space="preserve">
Marca: Dell
Modelo: Vostro 3681
Factor de forma: SFF
Procesador: Intel Core i3 - 10105
RAM: 8 GB - DDR4
Disco Solido: 240Gb
Disco Duro Mecánico: 1 Tb
Sistema Operativo: Windows 11</t>
  </si>
  <si>
    <t>https://www.mercadolibre.com.co/pc-dell-vostro-sff-3681-ci310100gn-8gb-1tb-256gb-ssd-185/up/MCOU2396162638?pdp_filters=item_id%3AMCO1091500715&amp;gclid=CjwKCAjwoPOwBhAeEiwAJuXRh9ZxaAotyKP69ytOLzP0oHrXqZnwGlpGwsvdvqSrEE5Uk12u25-7KBoCK6kQAvD_BwE&amp;matt_campaign_id=20916441025&amp;matt_target_id=pla-2268062084393&amp;matt_tool=20886709&amp;matt_source=google</t>
  </si>
  <si>
    <t>Pc Dell Vostro Sff 3681 Ci3-10100gn 8gb, 1tb, 256gb Ssd 18,5</t>
  </si>
  <si>
    <t>Computador DELL VOSTRO SFF 3681 – Procesador Intel Core I3 10100 – Memoria 4GB DDR4 – Disco Duro 1 TERA – DVD RW – Monitor 18:
5 Sistema Operativo Windows 10 Profesional</t>
  </si>
  <si>
    <t>Jumbo</t>
  </si>
  <si>
    <t>https://www.jumbocolombia.com/computador-dell-vostro-sff-3681-intel-core-i3-10100-4gb-1tb-20084152/p?srsltid=AfmBOornGAVtlkGAHED7-iN5sfFQ-9WtVo3mCTpfXSgMVP9UhmX05P-k</t>
  </si>
  <si>
    <t>PC Dell Vostro 3681 SFF Core i3-10100 4GB 1TB 18,5'' Corporativo Windows 10 Pro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</si>
  <si>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</si>
  <si>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</si>
  <si>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</si>
  <si>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</si>
  <si>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</si>
  <si>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</si>
  <si>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</si>
  <si>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</si>
  <si>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</si>
  <si>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</si>
  <si>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Hosting colombia</t>
  </si>
  <si>
    <t>https://clientes.latinoamericahosting.com.co/store/hosting</t>
  </si>
  <si>
    <t xml:space="preserve">Hosting y dominio </t>
  </si>
  <si>
    <t>Espacio en disco: 70GB Transferencia: 800GB Dominios soportados: 5 Subdominios: Ilimitados Cuentas de email: 150 Cuentas FTP: Ilimitadas Bases de datos: 25</t>
  </si>
  <si>
    <t>Tecnoweb</t>
  </si>
  <si>
    <t>https://landing.tecnoweb.net/co-hosting/?utm_source=google&amp;utm_medium=cpc&amp;utm_campaign=19562236259&amp;utm_term=153886511965&amp;gad_source=1&amp;gclid=Cj0KCQjwir2xBhC_ARIsAMTXk85FuVgzp7L9jHq92S7DGrKRyHn_SWhakbHwC9oJW4MNeyz804mtJacaAiDrEALw_wcB</t>
  </si>
  <si>
    <t>4 GB de Espacio 128MB Memoria Heap 10 cuentas de Correos 1 Base de Datos MySQL 1 Dominio Soportado Disco SSD Ultra Rápido Ilimitados Subdominios Transferencia Ilimitada Soporte 24/7/365 99.9% de Uptime</t>
  </si>
  <si>
    <t>GoDady</t>
  </si>
  <si>
    <r>
      <rPr>
        <rFont val="Trebuchet MS"/>
        <sz val="10.0"/>
      </rPr>
      <t xml:space="preserve">Url: </t>
    </r>
    <r>
      <rPr>
        <rFont val="Trebuchet MS"/>
        <color rgb="FF1155CC"/>
        <sz val="10.0"/>
        <u/>
      </rPr>
      <t xml:space="preserve">https://www.tulicenciaoriginal.com/licencia-office/licencia-office-365#/26-version-office_2019
</t>
    </r>
    <r>
      <rPr>
        <rFont val="Trebuchet MS"/>
        <sz val="10.0"/>
      </rPr>
      <t>Dirección: Ctra Longitudinal Sur 750
Cuenta con chat
correo: contacto@tulicenciaoriginal.com</t>
    </r>
  </si>
  <si>
    <t>Mayor capacidad de procesamiento con múltiples sitios, almacenamiento, bases de datos y SSL para todos los sitios. Además, dominio coincidente gratis y correo electrónico gratis (con plazos de 12/meses o más).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</si>
  <si>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</si>
  <si>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</si>
  <si>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Cuadro Comparativo de Cotizaciones</t>
  </si>
  <si>
    <t>Presupuestos (a)</t>
  </si>
  <si>
    <t>Empresa
 (Nombre fiscal de la empresa)</t>
  </si>
  <si>
    <t>Nº de CUIT, Dirección, Teléfono
 (Datos de la empresa)</t>
  </si>
  <si>
    <t>Descripción del
 bien/ servicio (b)
 Características de los bienes/ servicios</t>
  </si>
  <si>
    <t>Importe Unitario
 (moneda nacional)</t>
  </si>
  <si>
    <t>Importe Total
  IVA incluido
 (moneda nacional)</t>
  </si>
  <si>
    <t>Importe Total
 (moneda extranjera)</t>
  </si>
  <si>
    <t>Forma de Pago 
 (Contado o Cheque)</t>
  </si>
  <si>
    <t>Observaciones 
 (se debe incluir toda aquella característica que no ha sido posible incluir anteriormente)</t>
  </si>
  <si>
    <t>Tulicencia</t>
  </si>
  <si>
    <t>https://www.tulicenciaoriginal.com/licencia-office/licencia-office-2024-professional-plus-permanente#/28-tipo_de_licencia-1_dispositivo</t>
  </si>
  <si>
    <t>Licencia de Microsoft Office 365</t>
  </si>
  <si>
    <t>Licencia 100% Original.
Serial de 25 Caracteres (XXXXX-XXXXX-XXXXX-XXXXX-XXXXX).
Guía para ingresar el código.
Requiere Windows 10 o Windows 11. --&gt;(Versión de MAC siguiendo este enlace OFFICE 365 MAC)
ENVÍO INSTANTÁNEO: Se envía automáticamente su licencia, guía y el link de descarga desde Microsoft.
Novedades Oficiales.</t>
  </si>
  <si>
    <t>Nº2</t>
  </si>
  <si>
    <t>Programas.com</t>
  </si>
  <si>
    <t>https://programas.com.co/productos/microsoft-office-2024-home-and-business-windows-mac-mvs6a/</t>
  </si>
  <si>
    <t>Haga más, Office 2024 está diseñado para ayudarlo a crear y organizar más rápido con funciones que ahorran tiempo, una nueva apariencia moderna y herramientas de colaboración integradas. Además, puede guardar sus documentos en la nube en OneDrive y acceder a ellos desde cualquier lugar.
Requisitos mínimos del sistema: Office 2024 Home and Business está disponible en una versión de 64 bits.
Sistema operativo : Office para Mac es compatible con las tres versiones más recientes de macOS . Cuando se lanza una nueva versión de macOS, el requisito de Office 2024 para el sistema operativo Mac se convierte en las tres versiones más recientes en ese momento. Es decir, la nueva versión de macOS más las dos versiones anteriores.</t>
  </si>
  <si>
    <t>Instant legit</t>
  </si>
  <si>
    <t>MICROSOFT 365 PERSONAL LICENSE KEY | (PC/MAC/TABLET) – 5 DEVICES – ONE TIME PAYMENT - Instant Legit Ltd</t>
  </si>
  <si>
    <t>Haga todo lo que necesita hacer con Microsoft 365 Personal (PC/MAC/Tablet)! Disfrute de todas las aplicaciones premium de Office que conoce y ama y de la libertad de almacenamiento en la nube de 5 TB. Esta versión viene con seguridad actualizada para correos electrónicos* y archivos** gracias a herramientas avanzadas de cifrado de correo electrónico y detección de ransomware. Estas funciones, que anteriormente solo estaban disponibles para la versión Business del software, no solo lo protegen de ataques cibernéticos, sino que también pueden ayudarlo a recuperar archivos eliminados por accidente, pérdida de datos en casos de problemas de hardware y más.</t>
  </si>
  <si>
    <t>(a) Se deben presentar tres (3) presupuestos cuando: 
  El valor del gasto supere el monto de pesos un mil ($ 1.000,00). 
  Se pueden presentar al menos tres (3) solicitudes de cotización (del bien o servicio a contratar) cursadas a tres o más empresas oferentes.
  La selección del proveedor se hará con el criterio del más bajo precio.
  En caso de no contar con tres (3) presupuestos, o no poder seleccionar al proveedor que ofrece menor precio, presentar este cuadro una nota de justificación siguiendo las pautas del ítem (XX)</t>
  </si>
  <si>
    <t>(b) Ejemplos: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</si>
  <si>
    <r>
      <rPr>
        <rFont val="Trebuchet MS"/>
        <color rgb="FF000000"/>
        <sz val="10.0"/>
      </rPr>
      <t xml:space="preserve"> </t>
    </r>
    <r>
      <rPr>
        <rFont val="Trebuchet MS"/>
        <color rgb="FF1155CC"/>
        <sz val="10.0"/>
        <u/>
      </rPr>
      <t xml:space="preserve">https://www.tulicenciaoriginal.com/licencia-windows/licencia-windows-10-pro#/31-tipo_de_licencia-10_dispositivos
</t>
    </r>
  </si>
  <si>
    <t>Licencia de windows 10 pro</t>
  </si>
  <si>
    <t>Licencia 100% Original.Serial de 25 Caracteres (XXXXX-XXXXX-XXXXX-XXXXX-XXXXX).La licencia funciona para las versiones de 32 y 64 bit.ENVÍO INSTANTÁNEO: Se envía automáticamente su Licencia, Guía y el link de Descarga desde Microsoft.Compatible con Office 2019 y Office 2021.Duración: Para Siempre - Esta Licencia no Caduca.NOVEDADES OFICIALES.</t>
  </si>
  <si>
    <t>All Good Key</t>
  </si>
  <si>
    <r>
      <rPr>
        <rFont val="Trebuchet MS"/>
        <color rgb="FF000000"/>
        <sz val="10.0"/>
      </rPr>
      <t xml:space="preserve">
</t>
    </r>
    <r>
      <rPr>
        <rFont val="Trebuchet MS"/>
        <color rgb="FF1155CC"/>
        <sz val="10.0"/>
        <u/>
      </rPr>
      <t>Licencia Office 2024 Professional Plus - All Good Keys</t>
    </r>
  </si>
  <si>
    <t>contado</t>
  </si>
  <si>
    <t>onsigue ya tu Licencia Office 2024 Professional Plus para un PC y lleva tu productividad al siguiente nivel! Con esta licencia oficial y permanente, accederás a las potentes herramientas de Microsoft Office, incluyendo Word, Excel, PowerPoint, Outlook, Access, Publisher y Skype Empresarial.
¡IMPORTANTE!: ESTE PRODUCTO NO ES COMPATIBLE CON APPLE MAC OS.
Al comprar Microsoft Office 2024 Professional Plus, recibirás una clave de activación de 25 dígitos que te brindará acceso ilimitado sin necesidad de suscripción. También contarás con soporte gratuito 24/7 durante la instalación y activación.</t>
  </si>
  <si>
    <t>Activatusoftware</t>
  </si>
  <si>
    <t>Licencia Office 2024 Pro Plus PC 5 Dispositivos Original - ActivaTuSoftware</t>
  </si>
  <si>
    <t>Este producto requiere un plazo adicional de hasta 24 horas para su entrega. Agradecemos tu comprensión.
La mayoría de los productos disponibles en activatusoftware.com son entregados de forma inmediata tras la confirmación de la compra. Sin embargo, ciertos productos específicos requieren un plazo adicional de hasta 24 horas para su activación y entrega completa.
Trabajamos constantemente para agilizar estos tiempos y brindarte siempre la mejor experiencia posible. Agradecemos tu confianza y comprensión.
Si tienes dudas o consultas sobre este proceso, nuestro equipo de soporte está siempre disponible para ayudarte.</t>
  </si>
  <si>
    <t xml:space="preserve">
Extras
100 GB de espacio en la nube 
Tutoriales paso a paso 
Adobe Portfolio 
Adobe Fonts 
Behance
Bibliotecas Creative Cloud
Acceso a las funciones más recientes
25 créditos generativos mensuales
Recomendado para
Ilustración
Dibujo y pintura
Tipografía
Diseño gráfico</t>
  </si>
  <si>
    <t>Adobe España</t>
  </si>
  <si>
    <t>https://www.adobe.com/co/creativecloud/plans.html?sdid=ZFN4F954&amp;mv=search&amp;mv2=paidsearch&amp;ef_id=CjwKCAiA3fnJBhAgEiwAyqmY5fZw06OmN-QM9tmZpLVOvSMMfGtoiEXO_Xm967Eg2I4qvgywFdMnMBoC6QkQAvD_BwE:G:s&amp;s_kwcid=AL!3085!3!719864638797!e!!g!!precio%20de%20illustrator!21874961981!169154324079&amp;gad_source=1&amp;gad_campaignid=21874961981&amp;gbraid=0AAAAADxybVq_OWtXxpeC56kmeTsrN-7SZ&amp;gclid=CjwKCAiA3fnJBhAgEiwAyqmY5fZw06OmN-QM9tmZpLVOvSMMfGtoiEXO_Xm967Eg2I4qvgywFdMnMBoC6QkQAvD_BwE</t>
  </si>
  <si>
    <t>Licencia de Adobe Ilustrador</t>
  </si>
  <si>
    <t>Extras
100 GB de espacio en la nube 
Tutoriales paso a paso 
Adobe Portfolio 
Adobe Fonts 
Behance
Bibliotecas Creative Cloud
Acceso a las funciones más recientes
25 créditos generativos mensuales
Recomendado para
Ilustración
Dibujo y pintura
Tipografía
Diseño gráfico</t>
  </si>
  <si>
    <t>https://www.amazon.com/-/es/dp/B07Q6ZQXCZ/ref=sr_1_1?adgrpid=103317833713&amp;dib=eyJ2IjoiMSJ9.8OXufZ7PheT74Djy6v67DV0AkDNvTVedQ_GVpbG7Kn3cdJtBR6MLZzKSYi0P-0HhXY5eUsPNIqTx7b_aFD46g1_FP7JjYOJQZL8uA-RqS1A3rPn1WXc5ks5LAeXGO1i5ZBy7XIuxaDzwxXmXNLhSZQXro902BC8hAvmmjZi1i9khnEJE7ZqQ_67tXQtMB06HtHST6qZaerYUSY9ttSkvPzD4vTLjQEq7TGslAPFB3E5-V8c5O5HumseUzwn69EE2G6zH6wJgVpWzZjkb30RVEsDeOeJmGpExP94anIYsSO8.KYQEBoWIP2ounYngSldMNJKQpkcTWkMArb5zrRN-zFI&amp;dib_tag=se&amp;hvadid=602416544784&amp;hvdev=c&amp;hvlocphy=9208303&amp;hvnetw=g&amp;hvqmt=b&amp;hvrand=6176410346780852604&amp;hvtargid=kwd-10119150&amp;hydadcr=17999_13512166&amp;keywords=adobe+illustrator&amp;mcid=e9e1b9232dc73e4585e7c72765ebf2c6&amp;qid=1765738344&amp;sr=8-1</t>
  </si>
  <si>
    <t>Nota: Actualmente, este artículo está disponible solo para clientes en Estados Unidos.
La aplicación de gráficos vectoriales, estándar en la industria, te permite crear logotipos, íconos, bocetos, tipografía e ilustraciones complejas para impresión, web, plataformas interactivas, video y dispositivos móviles.
Descubre cómo Illustrator, el más rápido de la historia, te ayuda a pasar de la primera idea a la obra terminada, así de fácil.
Los suscriptores deben completar primero el período de suscripción actual antes de vincular uno nuevo.
Illustrator es una aplicación profesional de diseño gráfico vectorial con herramientas estándar en la industria para dibujo, color, efectos creativos y tipografía.
Crea gráficos vectoriales para usar en cualquier tipo de proyecto. Illustrator es una aplicación versátil para diseñar gráficos como logotipos, íconos, gráficos y más.
Disfruta de herramientas y controles creativos precisos y potentes para dibujo, tipografía, color y efectos creativos necesarios para crear gráficos atractivos para prácticamente cualquier medio.</t>
  </si>
  <si>
    <t>Comparasofware</t>
  </si>
  <si>
    <t>https://www.comparasoftware.co/adobe-illustrator-es</t>
  </si>
  <si>
    <t>Esta licencia es totalmente original y válida por un período de un mes para versiones de 32 y 64 bits y puede ser renovada cada mes.</t>
  </si>
  <si>
    <t>McAfee</t>
  </si>
  <si>
    <t>https://www.mcafee.com/consumer/es-co/landing-page/direct/sem/search-campaign.html?csrc=bing&amp;csrcl2=text-ad&amp;cctype=search&amp;ccstype=&amp;ccoe=direct&amp;ccoel2=sem&amp;pkg_id=521&amp;affid=1487&amp;utm_source=bing&amp;utm_medium=paidsearch&amp;utm_campaign=%5BES-CO%5D%5BSearch%5D%5BBrand%5D+Product+Total+Protection+Antivirus&amp;utm_content=%5Bbrand%5D%5Bexact%5D+mcafee+antivirus&amp;utm_term=antivirus%20total%20protection%20mcafee&amp;&amp;msclkid=03643ac2e8651186a50e5ced02fb5330&amp;utm_source=bing&amp;utm_medium=cpc&amp;utm_campaign=%5BES-CO%5D%5BSearch%5D%5BBrand%5D%20Product%20Total%20Protection%20Antivirus&amp;utm_term=antivirus%20total%20protection%20mcafee&amp;utm_content=%5Bbrand%5D%5Bexact%5D%20mcafee%20antivirus&amp;gclid=03643ac2e8651186a50e5ced02fb5330&amp;gclsrc=3p.ds</t>
  </si>
  <si>
    <t>Mcafee total protection</t>
  </si>
  <si>
    <t>Solución rápida
Protección contra amenazas en tiempo real
Protección ininterrumpida para los dispositivos de todos contra el malware y las amenazas en línea en constante evolución.
Fácil de usar 
Fácil de usar
Conecta todas tus computadoras, teléfonos inteligentes y adminístralos fácilmente desde un solo panel.
Líderes
Líder en seguridad del consumidor
Protección confiable para más de 600 millones de dispositivos. Mantener tu protección en línea es lo que hacemos mejor.
Promesa de protección antivirus
Garantía del 100 % de que eliminaremos los virus de tus dispositivos o te devolvemos tu dinero.**</t>
  </si>
  <si>
    <t>Mcafee Total Protection</t>
  </si>
  <si>
    <t>Licencia 100% Original.
licencia mcafee total protection
Serial de 25 Caracteres (XXXXX-XXXXX-XXXXX-XXXXX-XXXXX).
Guía para ingresar el código.
La licencia funciona para las versiones de 32 y 64 bit.
ENVIO INSTANTANEO: Se envía a su mail el Licencia (Código 25 Dígitos).
Versión: mcafee antivirus, otras versiones AQUI.
INFORMACION.
Duracion: 1 Año.</t>
  </si>
  <si>
    <r>
      <rPr>
        <rFont val="Arial"/>
        <color rgb="FF1155CC"/>
        <sz val="10.0"/>
        <u/>
      </rPr>
      <t>https://www.amazon.com/-/es/configuraci%C3%B3n-dispositivo-dispositivos-administrador-contrase%C3%B1as/dp/B0BB2GF9WW/ref=sr_1_1?adgrpid=104800831871&amp;dib=eyJ2IjoiMSJ9.r489DGYG06hPwV7Emjbyk_Dk2PfhcJ5vSAKie9gizjz0zQqMDqZJoXu9J3E48628RXmRjcfmdKLlWWMN8pQpV41j8gZaYwNMHNWw7nDfW2Kdt4p2Rm2oGLR2nghOCJzJYS8k4Bypl-oEgOn_iZzPn87gS2AfNMpfyO-m9x8TuY1ez6H_r3J1sopZtRkZtgY0uhs_we3WySYOkJBYaGiWNJUlb4KzEvbbMIdih04yPCty9l6s2gSIXC9x6tWPMOEDdgAsgCUwkLu5Zp5exivhEbfm_8aEYRpSYXFMlLwE2oo.pu11koSBKUddje8DUY1PImkEbfCzn4OTvone8V4IxLc&amp;dib_tag=se&amp;hvadid=673171090290&amp;hvdev=c&amp;hvlocphy=9209723&amp;hvnetw=g&amp;hvqmt=e&amp;hvrand=16036990113217171&amp;hvtargid=kwd-1557733648&amp;hydadcr=24397_13717176&amp;keywords=mcafee%2Btotal%2Bprotection&amp;mcid=8a91cd2dfd1d3acab20d2c55a726ec8c&amp;qid=1765743299&amp;sr=8-1&amp;th=1</t>
    </r>
    <r>
      <rPr>
        <rFont val="Arial"/>
        <color rgb="FF1155CC"/>
        <sz val="10.0"/>
        <u/>
      </rPr>
      <t xml:space="preserve">
</t>
    </r>
  </si>
  <si>
    <t>Exclusivo de Amazon: obtén 1 dispositivo de soporte de configuración de teléfono gratis. ¿Tienes un nuevo dispositivo? ¿Necesitas ayuda para configurar uno viejo? Estamos aquí para ti.
MCAFEE La protección total es todo en uno: antivirus, seguridad, identidad y protección de privacidad para 5 dispositivos
Comprueba la salud de tu protección en línea: nuestra puntuación de protección de primera industria identificará puntos débiles y te guiará para mejorar tu seguridad
Monitorea hasta 10 correos electrónicos en la web oscura: si se encuentra tu información, te avisaremos para que puedas actuar antes de que tu información termine en las manos equivocadas ​
Banca y compra privadamente: la VPN segura básica de McAfee (500 MB/mes) se enciende automáticamente para proteger tus datos personales e información de tarjeta de crédito ​</t>
  </si>
  <si>
    <t>Empresa
(Nombre fiscal de la empresa)</t>
  </si>
  <si>
    <r>
      <rPr>
        <rFont val="Trebuchet MS"/>
        <b/>
        <color rgb="FF000000"/>
        <sz val="10.0"/>
      </rPr>
      <t>Nº de CUIT, Dirección, Teléfono</t>
    </r>
    <r>
      <rPr>
        <rFont val="Trebuchet MS"/>
        <b val="0"/>
        <i/>
        <color rgb="FF000000"/>
        <sz val="8.0"/>
      </rPr>
      <t xml:space="preserve">
(Datos de la empresa)</t>
    </r>
  </si>
  <si>
    <r>
      <rPr>
        <rFont val="Trebuchet MS"/>
        <b/>
        <color rgb="FF000000"/>
        <sz val="10.0"/>
      </rPr>
      <t>Descripción del
bien/ servicio (b)</t>
    </r>
    <r>
      <rPr>
        <rFont val="Trebuchet MS"/>
        <b val="0"/>
        <i/>
        <color rgb="FF000000"/>
        <sz val="8.0"/>
      </rPr>
      <t xml:space="preserve">
Características de los bienes/ servicios</t>
    </r>
  </si>
  <si>
    <r>
      <rPr>
        <rFont val="Trebuchet MS"/>
        <b/>
        <color rgb="FF000000"/>
        <sz val="10.0"/>
      </rPr>
      <t>Importe Unitario</t>
    </r>
    <r>
      <rPr>
        <rFont val="Trebuchet MS"/>
        <b val="0"/>
        <i/>
        <color rgb="FF000000"/>
        <sz val="8.0"/>
      </rPr>
      <t xml:space="preserve">
(moneda nacional)</t>
    </r>
  </si>
  <si>
    <r>
      <rPr>
        <rFont val="Trebuchet MS"/>
        <b/>
        <color rgb="FF000000"/>
        <sz val="10.0"/>
        <u/>
      </rPr>
      <t>Importe Total
 IVA incluido</t>
    </r>
    <r>
      <rPr>
        <rFont val="Trebuchet MS"/>
        <b val="0"/>
        <i/>
        <color rgb="FF000000"/>
        <sz val="8.0"/>
        <u/>
      </rPr>
      <t xml:space="preserve">
(moneda nacional)</t>
    </r>
  </si>
  <si>
    <r>
      <rPr>
        <rFont val="Arial"/>
        <b/>
        <color rgb="FF000000"/>
        <sz val="10.0"/>
      </rPr>
      <t>Importe Total</t>
    </r>
    <r>
      <rPr>
        <rFont val="Arial"/>
        <b val="0"/>
        <i/>
        <color rgb="FF000000"/>
        <sz val="8.0"/>
      </rPr>
      <t xml:space="preserve">
(moneda extranjera)</t>
    </r>
  </si>
  <si>
    <r>
      <rPr>
        <rFont val="Trebuchet MS"/>
        <b/>
        <color rgb="FF000000"/>
        <sz val="10.0"/>
      </rPr>
      <t>Forma de Pago</t>
    </r>
    <r>
      <rPr>
        <rFont val="Trebuchet MS"/>
        <b val="0"/>
        <i/>
        <color rgb="FF000000"/>
        <sz val="8.0"/>
      </rPr>
      <t xml:space="preserve">
(Contado o Cheque)</t>
    </r>
  </si>
  <si>
    <r>
      <rPr>
        <rFont val="Arial"/>
        <b/>
        <color rgb="FF000000"/>
        <sz val="10.0"/>
      </rPr>
      <t>Observaciones</t>
    </r>
    <r>
      <rPr>
        <rFont val="Arial"/>
        <b val="0"/>
        <i/>
        <color rgb="FF000000"/>
        <sz val="8.0"/>
      </rPr>
      <t xml:space="preserve">
</t>
    </r>
    <r>
      <rPr>
        <rFont val="Trebuchet MS"/>
        <b val="0"/>
        <i/>
        <color rgb="FF000000"/>
        <sz val="8.0"/>
      </rPr>
      <t>Visual Studio está disponible en los siguientes idiomas:
inglés, chino (simplificado), chino (tradicional), checo, francés, alemán, italiano, japonés, coreano, polaco, portugués (Brasil), ruso, español, turco.
Puedes seleccionar el idioma de Visual Studio durante la instalación.
El instalador de Visual Studio está disponible en los mismos catorce idiomas y coincidirá con el idioma de Windows, si está disponible.</t>
    </r>
  </si>
  <si>
    <t>4237010.08</t>
  </si>
  <si>
    <t>Microsoft</t>
  </si>
  <si>
    <t xml:space="preserve">
https://www.microsoft.com/es-co/d/suscripcion-a-visual-studio-professional/dg7gmgf0dst3 </t>
  </si>
  <si>
    <t>Licencia de Visual Studio</t>
  </si>
  <si>
    <t>Obtenga acceso a herramientas de desarrollador, Azure, software de desarrollo y pruebas, soporte técnico y aprendizaje. Este completo paquete le permitirá ...</t>
  </si>
  <si>
    <t>Mr licencias</t>
  </si>
  <si>
    <t xml:space="preserve">
https://mrlicencias.com/products/visual-studio-2019-enterprise</t>
  </si>
  <si>
    <t xml:space="preserve">Visual Studio permite a los desarrolladores crear sitios y aplicaciones web, así como servicios web en cualquier entorno compatible con la plataforma .NET. Así, se pueden crear aplicaciones que se comuniquen entre estaciones de trabajo, páginas web, dispositivos móviles, videoconsolas, entre otros.
La versión 2019 permite trabajar con los frameworks:
.NET Framework 2.0
.NET Framework 3.0
.NET Framework 3.5
.NET Framework 4.0
.NET Framework 4.5
.NET Framework 4.5.1
.NET Framework 4.5.2
.NET Framework 4.6
.NET Framework 4.6.1
.NET Framework 4.7
.NET Framework 4.7.1
.NET Framework 4.7.2
.NET Framework 4.8
.NET Core 1.0
.NET Core 1.1
.NET Core 2.0
.NET Core 2.1
.NET Core 2.2
.NET Core 3.0
.NET Core 3.1
.NET 5.0
</t>
  </si>
  <si>
    <t>zentinels</t>
  </si>
  <si>
    <t>Licencia de Visual Studio 2019 Professional en modalidad Retail y con duración permanente. Cuenta con todas las herramientas para creación de aplicaciones nativas y una gran compatibilidad con diversos lenguajes de programación.</t>
  </si>
  <si>
    <r>
      <rPr>
        <rFont val="Arial"/>
        <b/>
        <color rgb="FF000000"/>
        <sz val="10.0"/>
      </rPr>
      <t xml:space="preserve">(a) Se deben presentar tres (3) presupuestos cuando:  
   </t>
    </r>
    <r>
      <rPr>
        <rFont val="Arial"/>
        <b val="0"/>
        <color rgb="FF000000"/>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rgb="FF000000"/>
        <sz val="10.0"/>
      </rPr>
      <t>En caso de no contar con tres (3) presupuestos, o no poder seleccionar al proveedor que ofrece menor precio, presentar este cuadro una nota de justificación siguiendo las pautas del ítem    (XX)</t>
    </r>
  </si>
  <si>
    <r>
      <rPr>
        <rFont val="Arial"/>
        <b/>
        <color rgb="FF000000"/>
        <sz val="10.0"/>
      </rPr>
      <t>(b) Ejemplos:</t>
    </r>
    <r>
      <rPr>
        <rFont val="Arial"/>
        <b val="0"/>
        <color rgb="FF000000"/>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</si>
</sst>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 $]#,##0"/>
    <numFmt numFmtId="165" formatCode="[$$-240A]\ #,##0"/>
    <numFmt numFmtId="166" formatCode="_-* #,##0.00\ [$€-C0A]_-;\-* #,##0.00\ [$€-C0A]_-;_-* &quot;-&quot;??\ [$€-C0A]_-;_-@"/>
    <numFmt numFmtId="167" formatCode="[$$-240A]\ #,##0.00"/>
    <numFmt numFmtId="168" formatCode="_-[$$-409]* #,##0.00_ ;_-[$$-409]* \-#,##0.00\ ;_-[$$-409]* &quot;-&quot;??_ ;_-@_ "/>
    <numFmt numFmtId="169" formatCode="#,##0.00\ [$€-1]"/>
  </numFmts>
  <fonts count="45">
    <font>
      <sz val="10.0"/>
      <color rgb="FF000000"/>
      <name val="Arial"/>
      <scheme val="minor"/>
    </font>
    <font>
      <sz val="13.0"/>
      <color theme="1"/>
      <name val="Arial"/>
    </font>
    <font>
      <sz val="10.0"/>
      <color theme="1"/>
      <name val="Arial"/>
    </font>
    <font>
      <b/>
      <sz val="12.0"/>
      <color theme="1"/>
      <name val="Arial"/>
    </font>
    <font/>
    <font>
      <b/>
      <sz val="10.0"/>
      <color theme="1"/>
      <name val="Arial"/>
    </font>
    <font>
      <b/>
      <sz val="10.0"/>
      <color theme="1"/>
      <name val="Trebuchet MS"/>
    </font>
    <font>
      <b/>
      <u/>
      <sz val="10.0"/>
      <color theme="1"/>
      <name val="Trebuchet MS"/>
    </font>
    <font>
      <i/>
      <sz val="10.0"/>
      <color theme="1"/>
      <name val="Arial"/>
    </font>
    <font>
      <sz val="10.0"/>
      <color theme="1"/>
      <name val="Trebuchet MS"/>
    </font>
    <font>
      <u/>
      <sz val="10.0"/>
      <color theme="10"/>
      <name val="Arial"/>
    </font>
    <font>
      <sz val="10.0"/>
      <color rgb="FF000000"/>
      <name val="Roboto"/>
    </font>
    <font>
      <u/>
      <sz val="10.0"/>
      <color theme="1"/>
      <name val="Trebuchet MS"/>
    </font>
    <font>
      <u/>
      <sz val="10.0"/>
      <color theme="10"/>
      <name val="Arial"/>
    </font>
    <font>
      <sz val="13.0"/>
      <color rgb="FF000000"/>
      <name val="Roboto"/>
    </font>
    <font>
      <sz val="10.0"/>
      <color theme="1"/>
      <name val="Arial Narrow"/>
    </font>
    <font>
      <sz val="8.0"/>
      <color rgb="FF444444"/>
      <name val="Arial"/>
    </font>
    <font>
      <u/>
      <sz val="10.0"/>
      <color rgb="FF0000FF"/>
      <name val="Trebuchet MS"/>
    </font>
    <font>
      <u/>
      <sz val="10.0"/>
      <color rgb="FF0000FF"/>
      <name val="Arial"/>
    </font>
    <font>
      <u/>
      <sz val="10.0"/>
      <color rgb="FF0000FF"/>
      <name val="Trebuchet MS"/>
    </font>
    <font>
      <u/>
      <sz val="10.0"/>
      <color rgb="FF0000FF"/>
      <name val="Trebuchet MS"/>
    </font>
    <font>
      <sz val="10.0"/>
      <color rgb="FF000000"/>
      <name val="Arial"/>
    </font>
    <font>
      <b/>
      <i/>
      <sz val="10.0"/>
      <color theme="1"/>
      <name val="Arial"/>
    </font>
    <font>
      <b/>
      <i/>
      <sz val="10.0"/>
      <color theme="1"/>
      <name val="Trebuchet MS"/>
    </font>
    <font>
      <b/>
      <i/>
      <u/>
      <sz val="10.0"/>
      <color theme="1"/>
      <name val="Trebuchet MS"/>
    </font>
    <font>
      <i/>
      <sz val="10.0"/>
      <color theme="1"/>
      <name val="Trebuchet MS"/>
    </font>
    <font>
      <i/>
      <sz val="11.0"/>
      <color theme="1"/>
      <name val="Calibri"/>
    </font>
    <font>
      <u/>
      <sz val="10.0"/>
      <color rgb="FF0000FF"/>
      <name val="Arial"/>
    </font>
    <font>
      <u/>
      <sz val="10.0"/>
      <color rgb="FF0000FF"/>
      <name val="Trebuchet MS"/>
    </font>
    <font>
      <b/>
      <sz val="12.0"/>
      <color rgb="FF000000"/>
      <name val="Arial"/>
    </font>
    <font>
      <b/>
      <sz val="10.0"/>
      <color rgb="FF000000"/>
      <name val="Arial"/>
    </font>
    <font>
      <b/>
      <sz val="10.0"/>
      <color rgb="FF000000"/>
      <name val="Trebuchet MS"/>
    </font>
    <font>
      <b/>
      <u/>
      <sz val="10.0"/>
      <color rgb="FF000000"/>
      <name val="Trebuchet MS"/>
    </font>
    <font>
      <sz val="10.0"/>
      <color rgb="FF000000"/>
      <name val="Trebuchet MS"/>
    </font>
    <font>
      <u/>
      <sz val="10.0"/>
      <color theme="10"/>
      <name val="Arial"/>
    </font>
    <font>
      <u/>
      <sz val="10.0"/>
      <color rgb="FF000000"/>
      <name val="Trebuchet MS"/>
    </font>
    <font>
      <u/>
      <sz val="10.0"/>
      <color rgb="FF0000FF"/>
      <name val="Arial"/>
    </font>
    <font>
      <u/>
      <sz val="10.0"/>
      <color rgb="FF000000"/>
      <name val="Trebuchet MS"/>
    </font>
    <font>
      <u/>
      <sz val="10.0"/>
      <color rgb="FF0000FF"/>
      <name val="Trebuchet MS"/>
    </font>
    <font>
      <b/>
      <u/>
      <sz val="10.0"/>
      <color rgb="FF000000"/>
      <name val="Trebuchet MS"/>
    </font>
    <font>
      <u/>
      <sz val="10.0"/>
      <color rgb="FF000000"/>
      <name val="Arial"/>
    </font>
    <font>
      <u/>
      <sz val="10.0"/>
      <color rgb="FF1155CC"/>
      <name val="Arial"/>
    </font>
    <font>
      <sz val="11.0"/>
      <color rgb="FF000000"/>
      <name val="Aptos Narrow"/>
    </font>
    <font>
      <sz val="10.0"/>
      <color rgb="FF000000"/>
      <name val="Quattrocento Sans"/>
    </font>
    <font>
      <sz val="10.0"/>
      <color rgb="FF0000FF"/>
      <name val="Arial"/>
    </font>
  </fonts>
  <fills count="8">
    <fill>
      <patternFill patternType="none"/>
    </fill>
    <fill>
      <patternFill patternType="lightGray"/>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theme="0"/>
        <bgColor theme="0"/>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3" numFmtId="0" xfId="0" applyAlignment="1" applyFont="1">
      <alignment horizontal="center" vertical="center"/>
    </xf>
    <xf borderId="1" fillId="2" fontId="3" numFmtId="0" xfId="0" applyAlignment="1" applyBorder="1" applyFill="1" applyFont="1">
      <alignment horizontal="center" shrinkToFit="0" vertical="center" wrapText="1"/>
    </xf>
    <xf borderId="2" fillId="0" fontId="4" numFmtId="0" xfId="0" applyBorder="1" applyFont="1"/>
    <xf borderId="3" fillId="0" fontId="4" numFmtId="0" xfId="0" applyBorder="1" applyFont="1"/>
    <xf borderId="4" fillId="3" fontId="5" numFmtId="0" xfId="0" applyAlignment="1" applyBorder="1" applyFill="1" applyFont="1">
      <alignment horizontal="center" shrinkToFit="0" vertical="center" wrapText="1"/>
    </xf>
    <xf borderId="4" fillId="0" fontId="6" numFmtId="0" xfId="0" applyAlignment="1" applyBorder="1" applyFont="1">
      <alignment horizontal="center" shrinkToFit="0" vertical="center" wrapText="1"/>
    </xf>
    <xf borderId="4" fillId="0" fontId="6" numFmtId="164" xfId="0" applyAlignment="1" applyBorder="1" applyFont="1" applyNumberFormat="1">
      <alignment horizontal="center" shrinkToFit="0" vertical="center" wrapText="1"/>
    </xf>
    <xf borderId="4" fillId="4" fontId="7" numFmtId="0" xfId="0" applyAlignment="1" applyBorder="1" applyFill="1" applyFont="1">
      <alignment horizontal="center" shrinkToFit="0" vertical="center" wrapText="1"/>
    </xf>
    <xf borderId="5" fillId="5" fontId="5" numFmtId="0" xfId="0" applyAlignment="1" applyBorder="1" applyFill="1" applyFont="1">
      <alignment horizontal="center" shrinkToFit="0" vertical="center" wrapText="1"/>
    </xf>
    <xf borderId="4" fillId="2" fontId="6" numFmtId="0" xfId="0" applyAlignment="1" applyBorder="1" applyFont="1">
      <alignment horizontal="center" shrinkToFit="0" vertical="center" wrapText="1"/>
    </xf>
    <xf borderId="0" fillId="0" fontId="8" numFmtId="0" xfId="0" applyAlignment="1" applyFont="1">
      <alignment horizontal="center" vertical="center"/>
    </xf>
    <xf borderId="4" fillId="3" fontId="5" numFmtId="0" xfId="0" applyAlignment="1" applyBorder="1" applyFont="1">
      <alignment horizontal="center" vertical="center"/>
    </xf>
    <xf borderId="4" fillId="0" fontId="9" numFmtId="0" xfId="0" applyAlignment="1" applyBorder="1" applyFont="1">
      <alignment horizontal="center" shrinkToFit="0" vertical="center" wrapText="1"/>
    </xf>
    <xf borderId="4" fillId="0" fontId="10" numFmtId="0" xfId="0" applyAlignment="1" applyBorder="1" applyFont="1">
      <alignment horizontal="center" shrinkToFit="0" vertical="center" wrapText="1"/>
    </xf>
    <xf borderId="4" fillId="6" fontId="11" numFmtId="3" xfId="0" applyAlignment="1" applyBorder="1" applyFill="1" applyFont="1" applyNumberFormat="1">
      <alignment horizontal="center" vertical="center"/>
    </xf>
    <xf borderId="4" fillId="6" fontId="9" numFmtId="165" xfId="0" applyAlignment="1" applyBorder="1" applyFont="1" applyNumberFormat="1">
      <alignment horizontal="center" shrinkToFit="0" vertical="center" wrapText="1"/>
    </xf>
    <xf borderId="4" fillId="0" fontId="9" numFmtId="165" xfId="0" applyAlignment="1" applyBorder="1" applyFont="1" applyNumberFormat="1">
      <alignment horizontal="center" shrinkToFit="0" vertical="center" wrapText="1"/>
    </xf>
    <xf borderId="4" fillId="7" fontId="9" numFmtId="166" xfId="0" applyAlignment="1" applyBorder="1" applyFill="1" applyFont="1" applyNumberFormat="1">
      <alignment horizontal="center" shrinkToFit="0" vertical="center" wrapText="1"/>
    </xf>
    <xf borderId="4" fillId="0" fontId="9" numFmtId="0" xfId="0" applyAlignment="1" applyBorder="1" applyFont="1">
      <alignment horizontal="center" shrinkToFit="0" vertical="top" wrapText="1"/>
    </xf>
    <xf borderId="4" fillId="0" fontId="12" numFmtId="0" xfId="0" applyAlignment="1" applyBorder="1" applyFont="1">
      <alignment horizontal="center" shrinkToFit="0" vertical="center" wrapText="1"/>
    </xf>
    <xf borderId="4" fillId="0" fontId="13" numFmtId="0" xfId="0" applyAlignment="1" applyBorder="1" applyFont="1">
      <alignment horizontal="center" shrinkToFit="0" vertical="top" wrapText="1"/>
    </xf>
    <xf borderId="4" fillId="0" fontId="2" numFmtId="0" xfId="0" applyBorder="1" applyFont="1"/>
    <xf borderId="4" fillId="0" fontId="9" numFmtId="0" xfId="0" applyAlignment="1" applyBorder="1" applyFont="1">
      <alignment horizontal="left" shrinkToFit="0" vertical="top" wrapText="1"/>
    </xf>
    <xf borderId="4" fillId="0" fontId="9" numFmtId="164" xfId="0" applyAlignment="1" applyBorder="1" applyFont="1" applyNumberFormat="1">
      <alignment horizontal="left" shrinkToFit="0" vertical="top" wrapText="1"/>
    </xf>
    <xf borderId="4" fillId="6" fontId="14" numFmtId="3" xfId="0" applyAlignment="1" applyBorder="1" applyFont="1" applyNumberFormat="1">
      <alignment horizontal="center" vertical="center"/>
    </xf>
    <xf borderId="1" fillId="0" fontId="5" numFmtId="0" xfId="0" applyAlignment="1" applyBorder="1" applyFont="1">
      <alignment horizontal="left" shrinkToFit="0" vertical="center" wrapText="1"/>
    </xf>
    <xf borderId="0" fillId="0" fontId="15" numFmtId="0" xfId="0" applyAlignment="1" applyFont="1">
      <alignment horizontal="center" shrinkToFit="0" vertical="center" wrapText="1"/>
    </xf>
    <xf borderId="0" fillId="0" fontId="15" numFmtId="164" xfId="0" applyAlignment="1" applyFont="1" applyNumberFormat="1">
      <alignment horizontal="center" shrinkToFit="0" vertical="center" wrapText="1"/>
    </xf>
    <xf borderId="0" fillId="0" fontId="2" numFmtId="0" xfId="0" applyFont="1"/>
    <xf borderId="6" fillId="0" fontId="6" numFmtId="0" xfId="0" applyAlignment="1" applyBorder="1" applyFont="1">
      <alignment horizontal="center" shrinkToFit="0" vertical="center" wrapText="1"/>
    </xf>
    <xf borderId="4" fillId="6" fontId="11" numFmtId="3" xfId="0" applyAlignment="1" applyBorder="1" applyFont="1" applyNumberFormat="1">
      <alignment horizontal="center" shrinkToFit="0" vertical="center" wrapText="1"/>
    </xf>
    <xf borderId="4" fillId="6" fontId="9" numFmtId="167" xfId="0" applyAlignment="1" applyBorder="1" applyFont="1" applyNumberFormat="1">
      <alignment horizontal="center" shrinkToFit="0" vertical="center" wrapText="1"/>
    </xf>
    <xf borderId="4" fillId="0" fontId="9" numFmtId="167" xfId="0" applyAlignment="1" applyBorder="1" applyFont="1" applyNumberFormat="1">
      <alignment horizontal="center" shrinkToFit="0" vertical="center" wrapText="1"/>
    </xf>
    <xf borderId="1" fillId="0" fontId="9" numFmtId="0" xfId="0" applyAlignment="1" applyBorder="1" applyFont="1">
      <alignment horizontal="center" shrinkToFit="0" vertical="center" wrapText="1"/>
    </xf>
    <xf borderId="6" fillId="0" fontId="16" numFmtId="0" xfId="0" applyAlignment="1" applyBorder="1" applyFont="1">
      <alignment horizontal="left" shrinkToFit="0" vertical="center" wrapText="1"/>
    </xf>
    <xf borderId="4" fillId="0" fontId="16" numFmtId="0" xfId="0" applyAlignment="1" applyBorder="1" applyFont="1">
      <alignment horizontal="left" shrinkToFit="0" vertical="center" wrapText="1"/>
    </xf>
    <xf borderId="4" fillId="0" fontId="17" numFmtId="0" xfId="0" applyAlignment="1" applyBorder="1" applyFont="1">
      <alignment horizontal="center" shrinkToFit="0" vertical="top" wrapText="1"/>
    </xf>
    <xf borderId="7" fillId="0" fontId="16" numFmtId="0" xfId="0" applyAlignment="1" applyBorder="1" applyFont="1">
      <alignment horizontal="left" shrinkToFit="0" vertical="center" wrapText="1"/>
    </xf>
    <xf borderId="0" fillId="0" fontId="16" numFmtId="0" xfId="0" applyAlignment="1" applyFont="1">
      <alignment horizontal="left" shrinkToFit="0" vertical="center" wrapText="1"/>
    </xf>
    <xf borderId="4" fillId="0" fontId="18" numFmtId="0" xfId="0" applyAlignment="1" applyBorder="1" applyFont="1">
      <alignment horizontal="center" readingOrder="0" shrinkToFit="0" vertical="center" wrapText="1"/>
    </xf>
    <xf borderId="4" fillId="6" fontId="9" numFmtId="164" xfId="0" applyAlignment="1" applyBorder="1" applyFont="1" applyNumberFormat="1">
      <alignment horizontal="center" shrinkToFit="0" vertical="center" wrapText="1"/>
    </xf>
    <xf borderId="4" fillId="0" fontId="9" numFmtId="164" xfId="0" applyAlignment="1" applyBorder="1" applyFont="1" applyNumberFormat="1">
      <alignment horizontal="center" shrinkToFit="0" vertical="center" wrapText="1"/>
    </xf>
    <xf borderId="4" fillId="0" fontId="9" numFmtId="166" xfId="0" applyAlignment="1" applyBorder="1" applyFont="1" applyNumberFormat="1">
      <alignment horizontal="center" shrinkToFit="0" vertical="center" wrapText="1"/>
    </xf>
    <xf borderId="4" fillId="0" fontId="19" numFmtId="0" xfId="0" applyAlignment="1" applyBorder="1" applyFont="1">
      <alignment horizontal="center" shrinkToFit="0" vertical="center" wrapText="1"/>
    </xf>
    <xf borderId="4" fillId="0" fontId="9" numFmtId="0" xfId="0" applyAlignment="1" applyBorder="1" applyFont="1">
      <alignment horizontal="center" readingOrder="0" shrinkToFit="0" vertical="center" wrapText="1"/>
    </xf>
    <xf borderId="1" fillId="0" fontId="20" numFmtId="0" xfId="0" applyAlignment="1" applyBorder="1" applyFont="1">
      <alignment horizontal="left" shrinkToFit="0" vertical="center" wrapText="1"/>
    </xf>
    <xf borderId="0" fillId="0" fontId="21" numFmtId="0" xfId="0" applyFont="1"/>
    <xf borderId="0" fillId="0" fontId="21" numFmtId="0" xfId="0" applyAlignment="1" applyFont="1">
      <alignment horizontal="center"/>
    </xf>
    <xf borderId="4" fillId="3" fontId="22" numFmtId="0" xfId="0" applyAlignment="1" applyBorder="1" applyFont="1">
      <alignment horizontal="center" shrinkToFit="0" vertical="center" wrapText="1"/>
    </xf>
    <xf borderId="4" fillId="0" fontId="23" numFmtId="0" xfId="0" applyAlignment="1" applyBorder="1" applyFont="1">
      <alignment horizontal="center" shrinkToFit="0" vertical="center" wrapText="1"/>
    </xf>
    <xf borderId="4" fillId="4" fontId="24" numFmtId="0" xfId="0" applyAlignment="1" applyBorder="1" applyFont="1">
      <alignment horizontal="center" shrinkToFit="0" vertical="center" wrapText="1"/>
    </xf>
    <xf borderId="5" fillId="5" fontId="22" numFmtId="0" xfId="0" applyAlignment="1" applyBorder="1" applyFont="1">
      <alignment horizontal="center" shrinkToFit="0" vertical="center" wrapText="1"/>
    </xf>
    <xf borderId="4" fillId="2" fontId="23" numFmtId="0" xfId="0" applyAlignment="1" applyBorder="1" applyFont="1">
      <alignment horizontal="center" shrinkToFit="0" vertical="center" wrapText="1"/>
    </xf>
    <xf borderId="4" fillId="3" fontId="22" numFmtId="0" xfId="0" applyAlignment="1" applyBorder="1" applyFont="1">
      <alignment horizontal="center" vertical="center"/>
    </xf>
    <xf borderId="4" fillId="0" fontId="25" numFmtId="0" xfId="0" applyAlignment="1" applyBorder="1" applyFont="1">
      <alignment horizontal="center" shrinkToFit="0" vertical="center" wrapText="1"/>
    </xf>
    <xf borderId="4" fillId="0" fontId="25" numFmtId="164" xfId="0" applyAlignment="1" applyBorder="1" applyFont="1" applyNumberFormat="1">
      <alignment horizontal="center" shrinkToFit="0" vertical="center" wrapText="1"/>
    </xf>
    <xf borderId="4" fillId="0" fontId="25" numFmtId="166" xfId="0" applyAlignment="1" applyBorder="1" applyFont="1" applyNumberFormat="1">
      <alignment horizontal="center" shrinkToFit="0" vertical="center" wrapText="1"/>
    </xf>
    <xf borderId="0" fillId="0" fontId="26" numFmtId="0" xfId="0" applyAlignment="1" applyFont="1">
      <alignment horizontal="center" shrinkToFit="0" vertical="center" wrapText="1"/>
    </xf>
    <xf borderId="4" fillId="0" fontId="27" numFmtId="0" xfId="0" applyAlignment="1" applyBorder="1" applyFont="1">
      <alignment horizontal="center" readingOrder="0" shrinkToFit="0" vertical="center" wrapText="1"/>
    </xf>
    <xf borderId="4" fillId="0" fontId="9" numFmtId="164" xfId="0" applyAlignment="1" applyBorder="1" applyFont="1" applyNumberFormat="1">
      <alignment horizontal="center" vertical="center"/>
    </xf>
    <xf borderId="0" fillId="0" fontId="5" numFmtId="0" xfId="0" applyAlignment="1" applyFont="1">
      <alignment horizontal="center" vertical="center"/>
    </xf>
    <xf borderId="0" fillId="0" fontId="9" numFmtId="0" xfId="0" applyAlignment="1" applyFont="1">
      <alignment horizontal="center" shrinkToFit="0" vertical="center" wrapText="1"/>
    </xf>
    <xf borderId="0" fillId="0" fontId="28" numFmtId="0" xfId="0" applyAlignment="1" applyFont="1">
      <alignment horizontal="center" shrinkToFit="0" vertical="center" wrapText="1"/>
    </xf>
    <xf borderId="0" fillId="0" fontId="9" numFmtId="164" xfId="0" applyAlignment="1" applyFont="1" applyNumberFormat="1">
      <alignment horizontal="center" shrinkToFit="0" vertical="center" wrapText="1"/>
    </xf>
    <xf borderId="0" fillId="0" fontId="9" numFmtId="164" xfId="0" applyAlignment="1" applyFont="1" applyNumberFormat="1">
      <alignment horizontal="center" vertical="center"/>
    </xf>
    <xf borderId="7" fillId="0" fontId="2" numFmtId="0" xfId="0" applyBorder="1" applyFont="1"/>
    <xf borderId="7" fillId="0" fontId="9" numFmtId="0" xfId="0" applyAlignment="1" applyBorder="1" applyFont="1">
      <alignment horizontal="left" shrinkToFit="0" vertical="top" wrapText="1"/>
    </xf>
    <xf borderId="0" fillId="0" fontId="29" numFmtId="0" xfId="0" applyAlignment="1" applyFont="1">
      <alignment horizontal="center"/>
    </xf>
    <xf borderId="1" fillId="2" fontId="29" numFmtId="0" xfId="0" applyAlignment="1" applyBorder="1" applyFont="1">
      <alignment horizontal="center"/>
    </xf>
    <xf borderId="8" fillId="0" fontId="4" numFmtId="0" xfId="0" applyBorder="1" applyFont="1"/>
    <xf borderId="4" fillId="3" fontId="30" numFmtId="0" xfId="0" applyAlignment="1" applyBorder="1" applyFont="1">
      <alignment horizontal="center" shrinkToFit="0" vertical="center" wrapText="1"/>
    </xf>
    <xf borderId="4" fillId="0" fontId="31" numFmtId="0" xfId="0" applyAlignment="1" applyBorder="1" applyFont="1">
      <alignment horizontal="center" shrinkToFit="0" vertical="center" wrapText="1"/>
    </xf>
    <xf borderId="4" fillId="4" fontId="32" numFmtId="0" xfId="0" applyAlignment="1" applyBorder="1" applyFont="1">
      <alignment horizontal="center" shrinkToFit="0" vertical="center" wrapText="1"/>
    </xf>
    <xf borderId="5" fillId="5" fontId="30" numFmtId="0" xfId="0" applyAlignment="1" applyBorder="1" applyFont="1">
      <alignment horizontal="center" shrinkToFit="0" vertical="center" wrapText="1"/>
    </xf>
    <xf borderId="4" fillId="2" fontId="31" numFmtId="0" xfId="0" applyAlignment="1" applyBorder="1" applyFont="1">
      <alignment shrinkToFit="0" vertical="center" wrapText="1"/>
    </xf>
    <xf borderId="4" fillId="3" fontId="30" numFmtId="0" xfId="0" applyAlignment="1" applyBorder="1" applyFont="1">
      <alignment horizontal="center"/>
    </xf>
    <xf borderId="4" fillId="0" fontId="33" numFmtId="0" xfId="0" applyAlignment="1" applyBorder="1" applyFont="1">
      <alignment horizontal="center" shrinkToFit="0" vertical="center" wrapText="1"/>
    </xf>
    <xf borderId="0" fillId="0" fontId="34" numFmtId="0" xfId="0" applyAlignment="1" applyFont="1">
      <alignment horizontal="center" shrinkToFit="0" vertical="center" wrapText="1"/>
    </xf>
    <xf borderId="3" fillId="0" fontId="33" numFmtId="165" xfId="0" applyAlignment="1" applyBorder="1" applyFont="1" applyNumberFormat="1">
      <alignment horizontal="center" shrinkToFit="0" vertical="center" wrapText="1"/>
    </xf>
    <xf borderId="3" fillId="0" fontId="33" numFmtId="167" xfId="0" applyAlignment="1" applyBorder="1" applyFont="1" applyNumberFormat="1">
      <alignment horizontal="center" shrinkToFit="0" vertical="center" wrapText="1"/>
    </xf>
    <xf borderId="3" fillId="0" fontId="33" numFmtId="166" xfId="0" applyAlignment="1" applyBorder="1" applyFont="1" applyNumberFormat="1">
      <alignment horizontal="center" shrinkToFit="0" vertical="center" wrapText="1"/>
    </xf>
    <xf borderId="3" fillId="0" fontId="33" numFmtId="168" xfId="0" applyAlignment="1" applyBorder="1" applyFont="1" applyNumberFormat="1">
      <alignment horizontal="center" shrinkToFit="0" vertical="center" wrapText="1"/>
    </xf>
    <xf borderId="3" fillId="0" fontId="33" numFmtId="0" xfId="0" applyAlignment="1" applyBorder="1" applyFont="1">
      <alignment horizontal="center" shrinkToFit="0" vertical="center" wrapText="1"/>
    </xf>
    <xf borderId="4" fillId="0" fontId="35" numFmtId="0" xfId="0" applyAlignment="1" applyBorder="1" applyFont="1">
      <alignment horizontal="center" shrinkToFit="0" vertical="center" wrapText="1"/>
    </xf>
    <xf borderId="0" fillId="0" fontId="36" numFmtId="0" xfId="0" applyAlignment="1" applyFont="1">
      <alignment horizontal="center" readingOrder="0" shrinkToFit="0" vertical="center" wrapText="1"/>
    </xf>
    <xf borderId="4" fillId="0" fontId="21" numFmtId="0" xfId="0" applyBorder="1" applyFont="1"/>
    <xf borderId="4" fillId="0" fontId="33" numFmtId="0" xfId="0" applyAlignment="1" applyBorder="1" applyFont="1">
      <alignment horizontal="left" vertical="top"/>
    </xf>
    <xf borderId="1" fillId="0" fontId="30" numFmtId="0" xfId="0" applyAlignment="1" applyBorder="1" applyFont="1">
      <alignment horizontal="left"/>
    </xf>
    <xf borderId="4" fillId="2" fontId="31" numFmtId="0" xfId="0" applyAlignment="1" applyBorder="1" applyFont="1">
      <alignment horizontal="center" shrinkToFit="0" vertical="center" wrapText="1"/>
    </xf>
    <xf borderId="3" fillId="0" fontId="37" numFmtId="0" xfId="0" applyAlignment="1" applyBorder="1" applyFont="1">
      <alignment horizontal="center" readingOrder="0" shrinkToFit="0" vertical="center" wrapText="1"/>
    </xf>
    <xf borderId="4" fillId="0" fontId="33" numFmtId="0" xfId="0" applyAlignment="1" applyBorder="1" applyFont="1">
      <alignment horizontal="center" readingOrder="0" shrinkToFit="0" vertical="center" wrapText="1"/>
    </xf>
    <xf borderId="4" fillId="0" fontId="33" numFmtId="167" xfId="0" applyAlignment="1" applyBorder="1" applyFont="1" applyNumberFormat="1">
      <alignment horizontal="center" readingOrder="0" shrinkToFit="0" vertical="center" wrapText="1"/>
    </xf>
    <xf borderId="3" fillId="0" fontId="33" numFmtId="169" xfId="0" applyAlignment="1" applyBorder="1" applyFont="1" applyNumberFormat="1">
      <alignment horizontal="center" shrinkToFit="0" vertical="center" wrapText="1"/>
    </xf>
    <xf borderId="3" fillId="0" fontId="33" numFmtId="0" xfId="0" applyAlignment="1" applyBorder="1" applyFont="1">
      <alignment horizontal="center" readingOrder="0" shrinkToFit="0" vertical="center" wrapText="1"/>
    </xf>
    <xf borderId="9" fillId="0" fontId="38" numFmtId="0" xfId="0" applyAlignment="1" applyBorder="1" applyFont="1">
      <alignment horizontal="center" readingOrder="0" shrinkToFit="0" vertical="center" wrapText="1"/>
    </xf>
    <xf borderId="10" fillId="2" fontId="31" numFmtId="0" xfId="0" applyAlignment="1" applyBorder="1" applyFont="1">
      <alignment horizontal="center" shrinkToFit="0" vertical="center" wrapText="1"/>
    </xf>
    <xf borderId="6" fillId="0" fontId="31" numFmtId="0" xfId="0" applyAlignment="1" applyBorder="1" applyFont="1">
      <alignment horizontal="center" shrinkToFit="0" vertical="center" wrapText="1"/>
    </xf>
    <xf borderId="4" fillId="0" fontId="31" numFmtId="0" xfId="0" applyAlignment="1" applyBorder="1" applyFont="1">
      <alignment horizontal="center" readingOrder="0" shrinkToFit="0" vertical="center" wrapText="1"/>
    </xf>
    <xf borderId="4" fillId="0" fontId="33" numFmtId="167" xfId="0" applyAlignment="1" applyBorder="1" applyFont="1" applyNumberFormat="1">
      <alignment horizontal="center" shrinkToFit="0" vertical="center" wrapText="1"/>
    </xf>
    <xf borderId="1" fillId="0" fontId="33" numFmtId="169" xfId="0" applyAlignment="1" applyBorder="1" applyFont="1" applyNumberFormat="1">
      <alignment horizontal="center" shrinkToFit="0" vertical="center" wrapText="1"/>
    </xf>
    <xf borderId="4" fillId="0" fontId="33" numFmtId="169" xfId="0" applyAlignment="1" applyBorder="1" applyFont="1" applyNumberFormat="1">
      <alignment horizontal="center" shrinkToFit="0" vertical="center" wrapText="1"/>
    </xf>
    <xf borderId="4" fillId="0" fontId="21" numFmtId="0" xfId="0" applyAlignment="1" applyBorder="1" applyFont="1">
      <alignment horizontal="center" readingOrder="0" shrinkToFit="0" vertical="center" wrapText="1"/>
    </xf>
    <xf borderId="1" fillId="0" fontId="33" numFmtId="167" xfId="0" applyAlignment="1" applyBorder="1" applyFont="1" applyNumberFormat="1">
      <alignment horizontal="center" shrinkToFit="0" vertical="center" wrapText="1"/>
    </xf>
    <xf borderId="4" fillId="0" fontId="21" numFmtId="0" xfId="0" applyAlignment="1" applyBorder="1" applyFont="1">
      <alignment horizontal="center" shrinkToFit="0" vertical="center" wrapText="1"/>
    </xf>
    <xf borderId="7" fillId="0" fontId="33" numFmtId="0" xfId="0" applyAlignment="1" applyBorder="1" applyFont="1">
      <alignment horizontal="center" shrinkToFit="0" vertical="center" wrapText="1"/>
    </xf>
    <xf borderId="10" fillId="4" fontId="39" numFmtId="0" xfId="0" applyAlignment="1" applyBorder="1" applyFont="1">
      <alignment horizontal="center" shrinkToFit="0" vertical="center" wrapText="1"/>
    </xf>
    <xf borderId="11" fillId="5" fontId="30" numFmtId="0" xfId="0" applyAlignment="1" applyBorder="1" applyFont="1">
      <alignment horizontal="center" shrinkToFit="0" vertical="center" wrapText="1"/>
    </xf>
    <xf borderId="5" fillId="3" fontId="30" numFmtId="0" xfId="0" applyAlignment="1" applyBorder="1" applyFont="1">
      <alignment horizontal="center" shrinkToFit="0" vertical="center" wrapText="1"/>
    </xf>
    <xf borderId="4" fillId="0" fontId="40" numFmtId="0" xfId="0" applyAlignment="1" applyBorder="1" applyFont="1">
      <alignment horizontal="center" readingOrder="0" shrinkToFit="0" vertical="center" wrapText="1"/>
    </xf>
    <xf borderId="4" fillId="0" fontId="21" numFmtId="167" xfId="0" applyAlignment="1" applyBorder="1" applyFont="1" applyNumberFormat="1">
      <alignment horizontal="center" readingOrder="0" shrinkToFit="0" vertical="center" wrapText="1"/>
    </xf>
    <xf borderId="7" fillId="0" fontId="33" numFmtId="0" xfId="0" applyAlignment="1" applyBorder="1" applyFont="1">
      <alignment horizontal="center" readingOrder="0" shrinkToFit="0" vertical="center" wrapText="1"/>
    </xf>
    <xf borderId="4" fillId="0" fontId="41" numFmtId="0" xfId="0" applyAlignment="1" applyBorder="1" applyFont="1">
      <alignment horizontal="center" readingOrder="0" shrinkToFit="0" vertical="center" wrapText="1"/>
    </xf>
    <xf borderId="7" fillId="0" fontId="33" numFmtId="167" xfId="0" applyAlignment="1" applyBorder="1" applyFont="1" applyNumberFormat="1">
      <alignment horizontal="center" readingOrder="0" shrinkToFit="0" vertical="center" wrapText="1"/>
    </xf>
    <xf borderId="0" fillId="0" fontId="21" numFmtId="0" xfId="0" applyAlignment="1" applyFont="1">
      <alignment vertical="center"/>
    </xf>
    <xf borderId="0" fillId="0" fontId="29" numFmtId="0" xfId="0" applyFont="1"/>
    <xf borderId="1" fillId="2" fontId="29" numFmtId="0" xfId="0" applyAlignment="1" applyBorder="1" applyFont="1">
      <alignment shrinkToFit="0" wrapText="1"/>
    </xf>
    <xf borderId="0" fillId="0" fontId="42" numFmtId="0" xfId="0" applyFont="1"/>
    <xf borderId="4" fillId="3" fontId="30" numFmtId="0" xfId="0" applyAlignment="1" applyBorder="1" applyFont="1">
      <alignment horizontal="center" vertical="center"/>
    </xf>
    <xf borderId="1" fillId="0" fontId="33" numFmtId="0" xfId="0" applyAlignment="1" applyBorder="1" applyFont="1">
      <alignment horizontal="center" shrinkToFit="0" vertical="center" wrapText="1"/>
    </xf>
    <xf borderId="4" fillId="0" fontId="43" numFmtId="169" xfId="0" applyAlignment="1" applyBorder="1" applyFont="1" applyNumberFormat="1">
      <alignment horizontal="center" vertical="center"/>
    </xf>
    <xf borderId="4" fillId="0" fontId="43" numFmtId="167" xfId="0" applyAlignment="1" applyBorder="1" applyFont="1" applyNumberFormat="1">
      <alignment horizontal="center" vertical="center"/>
    </xf>
    <xf borderId="0" fillId="0" fontId="21" numFmtId="0" xfId="0" applyAlignment="1" applyFont="1">
      <alignment horizontal="center" vertical="center"/>
    </xf>
    <xf borderId="4" fillId="0" fontId="44" numFmtId="0" xfId="0" applyAlignment="1" applyBorder="1" applyFont="1">
      <alignment horizontal="center" readingOrder="0" shrinkToFit="0" vertical="center" wrapText="1"/>
    </xf>
    <xf borderId="4" fillId="0" fontId="33" numFmtId="0" xfId="0" applyAlignment="1" applyBorder="1" applyFont="1">
      <alignment shrinkToFit="0" wrapText="1"/>
    </xf>
    <xf borderId="4" fillId="0" fontId="33" numFmtId="0" xfId="0" applyAlignment="1" applyBorder="1" applyFont="1">
      <alignment shrinkToFit="0" vertical="center" wrapText="1"/>
    </xf>
    <xf borderId="1" fillId="0" fontId="30" numFmtId="0" xfId="0" applyAlignment="1" applyBorder="1" applyFont="1">
      <alignmen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ercadolibre.com.co/servidor-dell-t160-poweredge-ram-16gb-2-tb/p/MCO48019875" TargetMode="External"/><Relationship Id="rId2" Type="http://schemas.openxmlformats.org/officeDocument/2006/relationships/hyperlink" Target="https://mymsystech.com.co/servidores/5173-servidor-del-ldell-poweredge-t150.html?srsltid=AfmBOoqGT6LZco1qLRd-pq5pkBBlz5232XmqPnSxJKe8Eoo-BWTXX8oZ" TargetMode="External"/><Relationship Id="rId3" Type="http://schemas.openxmlformats.org/officeDocument/2006/relationships/hyperlink" Target="https://lasus.com.co/es/servidor-de-torre-dell-poweredge-t350-con-procesador-intel-xeon-e-2378?utm_source=google&amp;utm_medium=cpc&amp;utm_campaign=6451544044&amp;utm_term=&amp;utm_content=482073522194"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mercadolibre.com.co/combo-teclado-mouse-inalambrico-genius-km-8206s-negro/p/MCO38266679"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lkosto.com/monitor-lg-gamer-https:/www.alkosto.com/monitor-lg-gamer-32-pulgadas-32gs60qc-qhd-curvo-negro/p/880609610362332-pulgadas-32gs60qc-qhd-curvo-negro/p/8806096103623" TargetMode="External"/><Relationship Id="rId2" Type="http://schemas.openxmlformats.org/officeDocument/2006/relationships/hyperlink" Target="https://www.lg.com/co/monitores/ultragear-gaming-oled/32gx850a-b/"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lkosto.com/computador-all-in-one-acer-238-pulgadas-aio-c24-amd-ryzen/p/4711474560100" TargetMode="External"/><Relationship Id="rId2" Type="http://schemas.openxmlformats.org/officeDocument/2006/relationships/hyperlink" Target="https://acortar.link/SxYliz" TargetMode="External"/><Relationship Id="rId3" Type="http://schemas.openxmlformats.org/officeDocument/2006/relationships/hyperlink" Target="https://www.mercadolibre.com.co/pc-gamer-rgb-ryzen-7-5700g-16gb-ddr4-1tb-ssd-monitor-24/up/MCOU3438969605"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rticulo.mercadolibre.com.co/MCO-653804048-computador-intel-core-i7-11700-uhd-750-1tb-32gb-led-22-pc-_JM" TargetMode="External"/><Relationship Id="rId2" Type="http://schemas.openxmlformats.org/officeDocument/2006/relationships/hyperlink" Target="https://www.alkosto.com/computador-all-in-one-lenovo-ideacentre-aio-27-pulgadas/p/198153841134" TargetMode="External"/><Relationship Id="rId3" Type="http://schemas.openxmlformats.org/officeDocument/2006/relationships/hyperlink" Target="https://www.alkosto.com/computador-all-in-one-asus-27-v470vak-intel-core-i7-ram/p/4711636231053"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mercadolibre.com.co/cpu-dell-vostro-3681-ci5-10g-8256-sff/up/MCOU3544388762" TargetMode="External"/><Relationship Id="rId2" Type="http://schemas.openxmlformats.org/officeDocument/2006/relationships/hyperlink" Target="https://www.mercadolibre.com.co/pc-dell-vostro-sff-3681-ci310100gn-8gb-1tb-256gb-ssd-185/up/MCOU2396162638?pdp_filters=item_id%3AMCO1091500715&amp;gclid=CjwKCAjwoPOwBhAeEiwAJuXRh9ZxaAotyKP69ytOLzP0oHrXqZnwGlpGwsvdvqSrEE5Uk12u25-7KBoCK6kQAvD_BwE&amp;matt_campaign_id=20916441025&amp;matt_target_id=pla-2268062084393&amp;matt_tool=20886709&amp;matt_source=google" TargetMode="External"/><Relationship Id="rId3" Type="http://schemas.openxmlformats.org/officeDocument/2006/relationships/hyperlink" Target="https://www.jumbocolombia.com/computador-dell-vostro-sff-3681-intel-core-i3-10100-4gb-1tb-20084152/p?srsltid=AfmBOornGAVtlkGAHED7-iN5sfFQ-9WtVo3mCTpfXSgMVP9UhmX05P-k"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clientes.latinoamericahosting.com.co/store/hosting" TargetMode="External"/><Relationship Id="rId2" Type="http://schemas.openxmlformats.org/officeDocument/2006/relationships/hyperlink" Target="https://landing.tecnoweb.net/co-hosting/?utm_source=google&amp;utm_medium=cpc&amp;utm_campaign=19562236259&amp;utm_term=153886511965&amp;gad_source=1&amp;gclid=Cj0KCQjwir2xBhC_ARIsAMTXk85FuVgzp7L9jHq92S7DGrKRyHn_SWhakbHwC9oJW4MNeyz804mtJacaAiDrEALw_wcB" TargetMode="External"/><Relationship Id="rId3" Type="http://schemas.openxmlformats.org/officeDocument/2006/relationships/hyperlink" Target="https://www.tulicenciaoriginal.com/licencia-office/licencia-office-365"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tulicenciaoriginal.com/licencia-office/licencia-office-2024-professional-plus-permanente" TargetMode="External"/><Relationship Id="rId2" Type="http://schemas.openxmlformats.org/officeDocument/2006/relationships/hyperlink" Target="http://programas.com/" TargetMode="External"/><Relationship Id="rId3" Type="http://schemas.openxmlformats.org/officeDocument/2006/relationships/hyperlink" Target="https://programas.com.co/productos/microsoft-office-2024-home-and-business-windows-mac-mvs6a/" TargetMode="External"/><Relationship Id="rId4" Type="http://schemas.openxmlformats.org/officeDocument/2006/relationships/hyperlink" Target="https://instantlegit.com/product/microsoft-365-personal-pc-mac-tablet-1-device-one-time-payment/"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tulicenciaoriginal.com/licencia-windows/licencia-windows-10-pro" TargetMode="External"/><Relationship Id="rId2" Type="http://schemas.openxmlformats.org/officeDocument/2006/relationships/hyperlink" Target="https://allgoodkeys.com/es/producto/licencia-office-2024-professional-plus/" TargetMode="External"/><Relationship Id="rId3" Type="http://schemas.openxmlformats.org/officeDocument/2006/relationships/hyperlink" Target="https://activatusoftware.com/producto/office-2024-pro-plus-pc-5-dispositivos/"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dobe.com/co/creativecloud/plans.html?sdid=ZFN4F954&amp;mv=search&amp;mv2=paidsearch&amp;ef_id=CjwKCAiA3fnJBhAgEiwAyqmY5fZw06OmN-QM9tmZpLVOvSMMfGtoiEXO_Xm967Eg2I4qvgywFdMnMBoC6QkQAvD_BwE:G:s&amp;s_kwcid=AL!3085!3!719864638797!e!!g!!precio%20de%20illustrator!21874961981!169154324079&amp;gad_source=1&amp;gad_campaignid=21874961981&amp;gbraid=0AAAAADxybVq_OWtXxpeC56kmeTsrN-7SZ&amp;gclid=CjwKCAiA3fnJBhAgEiwAyqmY5fZw06OmN-QM9tmZpLVOvSMMfGtoiEXO_Xm967Eg2I4qvgywFdMnMBoC6QkQAvD_BwE" TargetMode="External"/><Relationship Id="rId2" Type="http://schemas.openxmlformats.org/officeDocument/2006/relationships/hyperlink" Target="https://www.amazon.com/-/es/dp/B07Q6ZQXCZ/ref=sr_1_1?adgrpid=103317833713&amp;dib=eyJ2IjoiMSJ9.8OXufZ7PheT74Djy6v67DV0AkDNvTVedQ_GVpbG7Kn3cdJtBR6MLZzKSYi0P-0HhXY5eUsPNIqTx7b_aFD46g1_FP7JjYOJQZL8uA-RqS1A3rPn1WXc5ks5LAeXGO1i5ZBy7XIuxaDzwxXmXNLhSZQXro902BC8hAvmmjZi1i9khnEJE7ZqQ_67tXQtMB06HtHST6qZaerYUSY9ttSkvPzD4vTLjQEq7TGslAPFB3E5-V8c5O5HumseUzwn69EE2G6zH6wJgVpWzZjkb30RVEsDeOeJmGpExP94anIYsSO8.KYQEBoWIP2ounYngSldMNJKQpkcTWkMArb5zrRN-zFI&amp;dib_tag=se&amp;hvadid=602416544784&amp;hvdev=c&amp;hvlocphy=9208303&amp;hvnetw=g&amp;hvqmt=b&amp;hvrand=6176410346780852604&amp;hvtargid=kwd-10119150&amp;hydadcr=17999_13512166&amp;keywords=adobe+illustrator&amp;mcid=e9e1b9232dc73e4585e7c72765ebf2c6&amp;qid=1765738344&amp;sr=8-1" TargetMode="External"/><Relationship Id="rId3" Type="http://schemas.openxmlformats.org/officeDocument/2006/relationships/hyperlink" Target="https://www.comparasoftware.co/adobe-illustrator-es"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acortar.link/IVxUja" TargetMode="External"/><Relationship Id="rId2" Type="http://schemas.openxmlformats.org/officeDocument/2006/relationships/hyperlink" Target="https://www.tulicenciaoriginal.com/windows-server/mcafee-total-protection" TargetMode="External"/><Relationship Id="rId3" Type="http://schemas.openxmlformats.org/officeDocument/2006/relationships/hyperlink" Target="https://www.amazon.com/-/es/configuraci%C3%B3n-dispositivo-dispositivos-administrador-contrase%C3%B1as/dp/B0BB2GF9WW/ref=sr_1_1?adgrpid=104800831871&amp;dib=eyJ2IjoiMSJ9.r489DGYG06hPwV7Emjbyk_Dk2PfhcJ5vSAKie9gizjz0zQqMDqZJoXu9J3E48628RXmRjcfmdKLlWWMN8pQpV41j8gZaYwNMHNWw7nDfW2Kdt4p2Rm2oGLR2nghOCJzJYS8k4Bypl-oEgOn_iZzPn87gS2AfNMpfyO-m9x8TuY1ez6H_r3J1sopZtRkZtgY0uhs_we3WySYOkJBYaGiWNJUlb4KzEvbbMIdih04yPCty9l6s2gSIXC9x6tWPMOEDdgAsgCUwkLu5Zp5exivhEbfm_8aEYRpSYXFMlLwE2oo.pu11koSBKUddje8DUY1PImkEbfCzn4OTvone8V4IxLc&amp;dib_tag=se&amp;hvadid=673171090290&amp;hvdev=c&amp;hvlocphy=9209723&amp;hvnetw=g&amp;hvqmt=e&amp;hvrand=16036990113217171&amp;hvtargid=kwd-1557733648&amp;hydadcr=24397_13717176&amp;keywords=mcafee%2Btotal%2Bprotection&amp;mcid=8a91cd2dfd1d3acab20d2c55a726ec8c&amp;qid=1765743299&amp;sr=8-1&amp;th=1"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microsoft.com/es-co/d/suscripcion-a-visual-studio-professional/dg7gmgf0dst3" TargetMode="External"/><Relationship Id="rId2" Type="http://schemas.openxmlformats.org/officeDocument/2006/relationships/hyperlink" Target="https://mrlicencias.com/products/visual-studio-2019-enterprise" TargetMode="External"/><Relationship Id="rId3"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55.5"/>
    <col customWidth="1" min="4" max="4" width="28.63"/>
    <col customWidth="1" min="5" max="6" width="17.0"/>
    <col customWidth="1" min="7" max="7" width="18.0"/>
    <col customWidth="1" min="8" max="8" width="25.88"/>
    <col customWidth="1" min="9" max="9" width="19.13"/>
    <col customWidth="1" min="10" max="10" width="53.13"/>
    <col customWidth="1" min="11" max="26" width="10.0"/>
  </cols>
  <sheetData>
    <row r="1" ht="12.75" customHeight="1">
      <c r="A1" s="1"/>
      <c r="E1" s="2"/>
    </row>
    <row r="2" ht="27.75" customHeight="1">
      <c r="D2" s="3" t="s">
        <v>0</v>
      </c>
    </row>
    <row r="3" ht="12.75" customHeight="1">
      <c r="E3" s="2"/>
    </row>
    <row r="4" ht="12.75" customHeight="1">
      <c r="E4" s="2"/>
    </row>
    <row r="5" ht="43.5" customHeight="1">
      <c r="A5" s="4" t="s">
        <v>1</v>
      </c>
      <c r="B5" s="5"/>
      <c r="C5" s="5"/>
      <c r="D5" s="5"/>
      <c r="E5" s="5"/>
      <c r="F5" s="5"/>
      <c r="G5" s="5"/>
      <c r="H5" s="5"/>
      <c r="I5" s="5"/>
      <c r="J5" s="6"/>
    </row>
    <row r="6" ht="15.75" customHeight="1">
      <c r="E6" s="2"/>
    </row>
    <row r="7" ht="75.75" customHeight="1">
      <c r="A7" s="7" t="s">
        <v>2</v>
      </c>
      <c r="B7" s="8" t="s">
        <v>3</v>
      </c>
      <c r="C7" s="8" t="s">
        <v>4</v>
      </c>
      <c r="D7" s="8" t="s">
        <v>5</v>
      </c>
      <c r="E7" s="9" t="s">
        <v>6</v>
      </c>
      <c r="F7" s="10" t="s">
        <v>7</v>
      </c>
      <c r="G7" s="11" t="s">
        <v>8</v>
      </c>
      <c r="H7" s="12" t="s">
        <v>9</v>
      </c>
      <c r="I7" s="8" t="s">
        <v>10</v>
      </c>
      <c r="J7" s="8" t="s">
        <v>11</v>
      </c>
      <c r="K7" s="13"/>
      <c r="L7" s="13"/>
      <c r="M7" s="13"/>
      <c r="N7" s="13"/>
      <c r="O7" s="13"/>
      <c r="P7" s="13"/>
      <c r="Q7" s="13"/>
      <c r="R7" s="13"/>
      <c r="S7" s="13"/>
      <c r="T7" s="13"/>
      <c r="U7" s="13"/>
      <c r="V7" s="13"/>
      <c r="W7" s="13"/>
      <c r="X7" s="13"/>
      <c r="Y7" s="13"/>
      <c r="Z7" s="13"/>
    </row>
    <row r="8" ht="111.0" customHeight="1">
      <c r="A8" s="14" t="s">
        <v>12</v>
      </c>
      <c r="B8" s="15" t="s">
        <v>13</v>
      </c>
      <c r="C8" s="16" t="s">
        <v>14</v>
      </c>
      <c r="D8" s="17" t="s">
        <v>15</v>
      </c>
      <c r="E8" s="18">
        <v>6179900.0</v>
      </c>
      <c r="F8" s="19">
        <f t="shared" ref="F8:F10" si="1">E8*19%</f>
        <v>1174181</v>
      </c>
      <c r="G8" s="20">
        <f t="shared" ref="G8:G10" si="2">E8/446620</f>
        <v>13.83704268</v>
      </c>
      <c r="H8" s="20">
        <f t="shared" ref="H8:H10" si="3">F8/G8</f>
        <v>84857.8</v>
      </c>
      <c r="I8" s="15" t="s">
        <v>16</v>
      </c>
      <c r="J8" s="21" t="s">
        <v>17</v>
      </c>
    </row>
    <row r="9" ht="126.75" customHeight="1">
      <c r="A9" s="14" t="s">
        <v>18</v>
      </c>
      <c r="B9" s="15" t="s">
        <v>19</v>
      </c>
      <c r="C9" s="16" t="s">
        <v>20</v>
      </c>
      <c r="D9" s="15" t="s">
        <v>21</v>
      </c>
      <c r="E9" s="18">
        <v>6289000.0</v>
      </c>
      <c r="F9" s="19">
        <f t="shared" si="1"/>
        <v>1194910</v>
      </c>
      <c r="G9" s="20">
        <f t="shared" si="2"/>
        <v>14.08132193</v>
      </c>
      <c r="H9" s="20">
        <f t="shared" si="3"/>
        <v>84857.8</v>
      </c>
      <c r="I9" s="15" t="s">
        <v>16</v>
      </c>
      <c r="J9" s="22" t="s">
        <v>22</v>
      </c>
    </row>
    <row r="10">
      <c r="A10" s="14" t="s">
        <v>23</v>
      </c>
      <c r="B10" s="15" t="s">
        <v>24</v>
      </c>
      <c r="C10" s="23" t="s">
        <v>25</v>
      </c>
      <c r="D10" s="15" t="s">
        <v>15</v>
      </c>
      <c r="E10" s="18">
        <v>1.0097711E7</v>
      </c>
      <c r="F10" s="19">
        <f t="shared" si="1"/>
        <v>1918565.09</v>
      </c>
      <c r="G10" s="20">
        <f t="shared" si="2"/>
        <v>22.60917782</v>
      </c>
      <c r="H10" s="20">
        <f t="shared" si="3"/>
        <v>84857.8</v>
      </c>
      <c r="I10" s="15" t="s">
        <v>16</v>
      </c>
      <c r="J10" s="21" t="s">
        <v>26</v>
      </c>
    </row>
    <row r="11" ht="15.0" hidden="1" customHeight="1">
      <c r="A11" s="24"/>
      <c r="B11" s="25"/>
      <c r="C11" s="25"/>
      <c r="D11" s="25"/>
      <c r="E11" s="26"/>
      <c r="F11" s="25"/>
      <c r="G11" s="27" t="s">
        <v>27</v>
      </c>
      <c r="H11" s="27" t="s">
        <v>27</v>
      </c>
      <c r="I11" s="21" t="s">
        <v>16</v>
      </c>
      <c r="J11" s="25"/>
    </row>
    <row r="12" ht="28.5" customHeight="1">
      <c r="E12" s="2"/>
      <c r="G12" s="27"/>
      <c r="H12" s="27"/>
    </row>
    <row r="13" ht="138.75" customHeight="1">
      <c r="A13" s="28" t="s">
        <v>28</v>
      </c>
      <c r="B13" s="5"/>
      <c r="C13" s="5"/>
      <c r="D13" s="5"/>
      <c r="E13" s="5"/>
      <c r="F13" s="5"/>
      <c r="G13" s="5"/>
      <c r="H13" s="5"/>
      <c r="I13" s="5"/>
      <c r="J13" s="6"/>
    </row>
    <row r="14" ht="12.75" customHeight="1">
      <c r="E14" s="2"/>
    </row>
    <row r="15" ht="75.0" customHeight="1">
      <c r="A15" s="28" t="s">
        <v>29</v>
      </c>
      <c r="B15" s="5"/>
      <c r="C15" s="5"/>
      <c r="D15" s="5"/>
      <c r="E15" s="5"/>
      <c r="F15" s="5"/>
      <c r="G15" s="5"/>
      <c r="H15" s="5"/>
      <c r="I15" s="5"/>
      <c r="J15" s="6"/>
    </row>
    <row r="16" ht="12.75" customHeight="1">
      <c r="E16" s="2"/>
    </row>
    <row r="17" ht="12.75" customHeight="1">
      <c r="E17" s="2"/>
    </row>
    <row r="18" ht="12.75" customHeight="1">
      <c r="E18" s="2"/>
    </row>
    <row r="19" ht="12.75" customHeight="1">
      <c r="E19" s="2"/>
    </row>
    <row r="20" ht="12.75" customHeight="1">
      <c r="E20" s="2"/>
    </row>
    <row r="21" ht="12.75" customHeight="1">
      <c r="E21" s="2"/>
    </row>
    <row r="22" ht="12.75" customHeight="1">
      <c r="E22" s="2"/>
    </row>
    <row r="23" ht="12.75" customHeight="1">
      <c r="E23" s="2"/>
    </row>
    <row r="24" ht="12.75" customHeight="1">
      <c r="E24" s="2"/>
    </row>
    <row r="25" ht="12.75" customHeight="1">
      <c r="E25" s="2"/>
    </row>
    <row r="26" ht="12.75" customHeight="1">
      <c r="D26" s="29"/>
      <c r="E26" s="30"/>
      <c r="F26" s="31"/>
      <c r="G26" s="31"/>
    </row>
    <row r="27" ht="12.75" customHeight="1">
      <c r="E27" s="2"/>
    </row>
    <row r="28" ht="12.75" customHeight="1">
      <c r="E28" s="2"/>
    </row>
    <row r="29" ht="12.75" customHeight="1">
      <c r="E29" s="2"/>
    </row>
    <row r="30" ht="12.75" customHeight="1">
      <c r="E30" s="2"/>
    </row>
    <row r="31" ht="12.75" customHeight="1">
      <c r="E31" s="2"/>
    </row>
    <row r="32" ht="12.75" customHeight="1">
      <c r="E32" s="2"/>
    </row>
    <row r="33" ht="12.75" customHeight="1">
      <c r="E33" s="2"/>
    </row>
    <row r="34" ht="12.75" customHeight="1">
      <c r="E34" s="2"/>
    </row>
    <row r="35" ht="12.75" customHeight="1">
      <c r="E35" s="2"/>
    </row>
    <row r="36" ht="12.75" customHeight="1">
      <c r="E36" s="2"/>
    </row>
    <row r="37" ht="12.75" customHeight="1">
      <c r="E37" s="2"/>
    </row>
    <row r="38" ht="12.75" customHeight="1">
      <c r="E38" s="2"/>
    </row>
    <row r="39" ht="12.75" customHeight="1">
      <c r="E39" s="2"/>
    </row>
    <row r="40" ht="12.75" customHeight="1">
      <c r="E40" s="2"/>
    </row>
    <row r="41" ht="12.75" customHeight="1">
      <c r="E41" s="2"/>
    </row>
    <row r="42" ht="12.75" customHeight="1">
      <c r="E42" s="2"/>
    </row>
    <row r="43" ht="12.75" customHeight="1">
      <c r="E43" s="2"/>
    </row>
    <row r="44" ht="12.75" customHeight="1">
      <c r="E44" s="2"/>
    </row>
    <row r="45" ht="12.75" customHeight="1">
      <c r="E45" s="2"/>
    </row>
    <row r="46" ht="12.75" customHeight="1">
      <c r="E46" s="2"/>
    </row>
    <row r="47" ht="12.75" customHeight="1">
      <c r="E47" s="2"/>
    </row>
    <row r="48" ht="12.75" customHeight="1">
      <c r="E48" s="2"/>
    </row>
    <row r="49" ht="12.75" customHeight="1">
      <c r="E49" s="2"/>
    </row>
    <row r="50" ht="12.75" customHeight="1">
      <c r="E50" s="2"/>
    </row>
    <row r="51" ht="12.75" customHeight="1">
      <c r="E51" s="2"/>
    </row>
    <row r="52" ht="12.75" customHeight="1">
      <c r="E52" s="2"/>
    </row>
    <row r="53" ht="12.75" customHeight="1">
      <c r="E53" s="2"/>
    </row>
    <row r="54" ht="12.75" customHeight="1">
      <c r="E54" s="2"/>
    </row>
    <row r="55" ht="12.75" customHeight="1">
      <c r="E55" s="2"/>
    </row>
    <row r="56" ht="12.75" customHeight="1">
      <c r="E56" s="2"/>
    </row>
    <row r="57" ht="12.75" customHeight="1">
      <c r="E57" s="2"/>
    </row>
    <row r="58" ht="12.75" customHeight="1">
      <c r="E58" s="2"/>
    </row>
    <row r="59" ht="12.75" customHeight="1">
      <c r="E59" s="2"/>
    </row>
    <row r="60" ht="12.75" customHeight="1">
      <c r="E60" s="2"/>
    </row>
    <row r="61" ht="12.75" customHeight="1">
      <c r="E61" s="2"/>
    </row>
    <row r="62" ht="12.75" customHeight="1">
      <c r="E62" s="2"/>
    </row>
    <row r="63" ht="12.75" customHeight="1">
      <c r="E63" s="2"/>
    </row>
    <row r="64" ht="12.75" customHeight="1">
      <c r="E64" s="2"/>
    </row>
    <row r="65" ht="12.75" customHeight="1">
      <c r="E65" s="2"/>
    </row>
    <row r="66" ht="12.75" customHeight="1">
      <c r="E66" s="2"/>
    </row>
    <row r="67" ht="12.75" customHeight="1">
      <c r="E67" s="2"/>
    </row>
    <row r="68" ht="12.75" customHeight="1">
      <c r="E68" s="2"/>
    </row>
    <row r="69" ht="12.75" customHeight="1">
      <c r="E69" s="2"/>
    </row>
    <row r="70" ht="12.75" customHeight="1">
      <c r="E70" s="2"/>
    </row>
    <row r="71" ht="12.75" customHeight="1">
      <c r="E71" s="2"/>
    </row>
    <row r="72" ht="12.75" customHeight="1">
      <c r="E72" s="2"/>
    </row>
    <row r="73" ht="12.75" customHeight="1">
      <c r="E73" s="2"/>
    </row>
    <row r="74" ht="12.75" customHeight="1">
      <c r="E74" s="2"/>
    </row>
    <row r="75" ht="12.75" customHeight="1">
      <c r="E75" s="2"/>
    </row>
    <row r="76" ht="12.75" customHeight="1">
      <c r="E76" s="2"/>
    </row>
    <row r="77" ht="12.75" customHeight="1">
      <c r="E77" s="2"/>
    </row>
    <row r="78" ht="12.75" customHeight="1">
      <c r="E78" s="2"/>
    </row>
    <row r="79" ht="12.75" customHeight="1">
      <c r="E79" s="2"/>
    </row>
    <row r="80" ht="12.75" customHeight="1">
      <c r="E80" s="2"/>
    </row>
    <row r="81" ht="12.75" customHeight="1">
      <c r="E81" s="2"/>
    </row>
    <row r="82" ht="12.75" customHeight="1">
      <c r="E82" s="2"/>
    </row>
    <row r="83" ht="12.75" customHeight="1">
      <c r="E83" s="2"/>
    </row>
    <row r="84" ht="12.75" customHeight="1">
      <c r="E84" s="2"/>
    </row>
    <row r="85" ht="12.75" customHeight="1">
      <c r="E85" s="2"/>
    </row>
    <row r="86" ht="12.75" customHeight="1">
      <c r="E86" s="2"/>
    </row>
    <row r="87" ht="12.75" customHeight="1">
      <c r="E87" s="2"/>
    </row>
    <row r="88" ht="12.75" customHeight="1">
      <c r="E88" s="2"/>
    </row>
    <row r="89" ht="12.75" customHeight="1">
      <c r="E89" s="2"/>
    </row>
    <row r="90" ht="12.75" customHeight="1">
      <c r="E90" s="2"/>
    </row>
    <row r="91" ht="12.75" customHeight="1">
      <c r="E91" s="2"/>
    </row>
    <row r="92" ht="12.75" customHeight="1">
      <c r="E92" s="2"/>
    </row>
    <row r="93" ht="12.75" customHeight="1">
      <c r="E93" s="2"/>
    </row>
    <row r="94" ht="12.75" customHeight="1">
      <c r="E94" s="2"/>
    </row>
    <row r="95" ht="12.75" customHeight="1">
      <c r="E95" s="2"/>
    </row>
    <row r="96" ht="12.75" customHeight="1">
      <c r="E96" s="2"/>
    </row>
    <row r="97" ht="12.75" customHeight="1">
      <c r="E97" s="2"/>
    </row>
    <row r="98" ht="12.75" customHeight="1">
      <c r="E98" s="2"/>
    </row>
    <row r="99" ht="12.75" customHeight="1">
      <c r="E99" s="2"/>
    </row>
    <row r="100" ht="12.75" customHeight="1">
      <c r="E100" s="2"/>
    </row>
    <row r="101" ht="12.75" customHeight="1">
      <c r="E101" s="2"/>
    </row>
    <row r="102" ht="12.75" customHeight="1">
      <c r="E102" s="2"/>
    </row>
    <row r="103" ht="12.75" customHeight="1">
      <c r="E103" s="2"/>
    </row>
    <row r="104" ht="12.75" customHeight="1">
      <c r="E104" s="2"/>
    </row>
    <row r="105" ht="12.75" customHeight="1">
      <c r="E105" s="2"/>
    </row>
    <row r="106" ht="12.75" customHeight="1">
      <c r="E106" s="2"/>
    </row>
    <row r="107" ht="12.75" customHeight="1">
      <c r="E107" s="2"/>
    </row>
    <row r="108" ht="12.75" customHeight="1">
      <c r="E108" s="2"/>
    </row>
    <row r="109" ht="12.75" customHeight="1">
      <c r="E109" s="2"/>
    </row>
    <row r="110" ht="12.75" customHeight="1">
      <c r="E110" s="2"/>
    </row>
    <row r="111" ht="12.75" customHeight="1">
      <c r="E111" s="2"/>
    </row>
    <row r="112" ht="12.75" customHeight="1">
      <c r="E112" s="2"/>
    </row>
    <row r="113" ht="12.75" customHeight="1">
      <c r="E113" s="2"/>
    </row>
    <row r="114" ht="12.75" customHeight="1">
      <c r="E114" s="2"/>
    </row>
    <row r="115" ht="12.75" customHeight="1">
      <c r="E115" s="2"/>
    </row>
    <row r="116" ht="12.75" customHeight="1">
      <c r="E116" s="2"/>
    </row>
    <row r="117" ht="12.75" customHeight="1">
      <c r="E117" s="2"/>
    </row>
    <row r="118" ht="12.75" customHeight="1">
      <c r="E118" s="2"/>
    </row>
    <row r="119" ht="12.75" customHeight="1">
      <c r="E119" s="2"/>
    </row>
    <row r="120" ht="12.75" customHeight="1">
      <c r="E120" s="2"/>
    </row>
    <row r="121" ht="12.75" customHeight="1">
      <c r="E121" s="2"/>
    </row>
    <row r="122" ht="12.75" customHeight="1">
      <c r="E122" s="2"/>
    </row>
    <row r="123" ht="12.75" customHeight="1">
      <c r="E123" s="2"/>
    </row>
    <row r="124" ht="12.75" customHeight="1">
      <c r="E124" s="2"/>
    </row>
    <row r="125" ht="12.75" customHeight="1">
      <c r="E125" s="2"/>
    </row>
    <row r="126" ht="12.75" customHeight="1">
      <c r="E126" s="2"/>
    </row>
    <row r="127" ht="12.75" customHeight="1">
      <c r="E127" s="2"/>
    </row>
    <row r="128" ht="12.75" customHeight="1">
      <c r="E128" s="2"/>
    </row>
    <row r="129" ht="12.75" customHeight="1">
      <c r="E129" s="2"/>
    </row>
    <row r="130" ht="12.75" customHeight="1">
      <c r="E130" s="2"/>
    </row>
    <row r="131" ht="12.75" customHeight="1">
      <c r="E131" s="2"/>
    </row>
    <row r="132" ht="12.75" customHeight="1">
      <c r="E132" s="2"/>
    </row>
    <row r="133" ht="12.75" customHeight="1">
      <c r="E133" s="2"/>
    </row>
    <row r="134" ht="12.75" customHeight="1">
      <c r="E134" s="2"/>
    </row>
    <row r="135" ht="12.75" customHeight="1">
      <c r="E135" s="2"/>
    </row>
    <row r="136" ht="12.75" customHeight="1">
      <c r="E136" s="2"/>
    </row>
    <row r="137" ht="12.75" customHeight="1">
      <c r="E137" s="2"/>
    </row>
    <row r="138" ht="12.75" customHeight="1">
      <c r="E138" s="2"/>
    </row>
    <row r="139" ht="12.75" customHeight="1">
      <c r="E139" s="2"/>
    </row>
    <row r="140" ht="12.75" customHeight="1">
      <c r="E140" s="2"/>
    </row>
    <row r="141" ht="12.75" customHeight="1">
      <c r="E141" s="2"/>
    </row>
    <row r="142" ht="12.75" customHeight="1">
      <c r="E142" s="2"/>
    </row>
    <row r="143" ht="12.75" customHeight="1">
      <c r="E143" s="2"/>
    </row>
    <row r="144" ht="12.75" customHeight="1">
      <c r="E144" s="2"/>
    </row>
    <row r="145" ht="12.75" customHeight="1">
      <c r="E145" s="2"/>
    </row>
    <row r="146" ht="12.75" customHeight="1">
      <c r="E146" s="2"/>
    </row>
    <row r="147" ht="12.75" customHeight="1">
      <c r="E147" s="2"/>
    </row>
    <row r="148" ht="12.75" customHeight="1">
      <c r="E148" s="2"/>
    </row>
    <row r="149" ht="12.75" customHeight="1">
      <c r="E149" s="2"/>
    </row>
    <row r="150" ht="12.75" customHeight="1">
      <c r="E150" s="2"/>
    </row>
    <row r="151" ht="12.75" customHeight="1">
      <c r="E151" s="2"/>
    </row>
    <row r="152" ht="12.75" customHeight="1">
      <c r="E152" s="2"/>
    </row>
    <row r="153" ht="12.75" customHeight="1">
      <c r="E153" s="2"/>
    </row>
    <row r="154" ht="12.75" customHeight="1">
      <c r="E154" s="2"/>
    </row>
    <row r="155" ht="12.75" customHeight="1">
      <c r="E155" s="2"/>
    </row>
    <row r="156" ht="12.75" customHeight="1">
      <c r="E156" s="2"/>
    </row>
    <row r="157" ht="12.75" customHeight="1">
      <c r="E157" s="2"/>
    </row>
    <row r="158" ht="12.75" customHeight="1">
      <c r="E158" s="2"/>
    </row>
    <row r="159" ht="12.75" customHeight="1">
      <c r="E159" s="2"/>
    </row>
    <row r="160" ht="12.75" customHeight="1">
      <c r="E160" s="2"/>
    </row>
    <row r="161" ht="12.75" customHeight="1">
      <c r="E161" s="2"/>
    </row>
    <row r="162" ht="12.75" customHeight="1">
      <c r="E162" s="2"/>
    </row>
    <row r="163" ht="12.75" customHeight="1">
      <c r="E163" s="2"/>
    </row>
    <row r="164" ht="12.75" customHeight="1">
      <c r="E164" s="2"/>
    </row>
    <row r="165" ht="12.75" customHeight="1">
      <c r="E165" s="2"/>
    </row>
    <row r="166" ht="12.75" customHeight="1">
      <c r="E166" s="2"/>
    </row>
    <row r="167" ht="12.75" customHeight="1">
      <c r="E167" s="2"/>
    </row>
    <row r="168" ht="12.75" customHeight="1">
      <c r="E168" s="2"/>
    </row>
    <row r="169" ht="12.75" customHeight="1">
      <c r="E169" s="2"/>
    </row>
    <row r="170" ht="12.75" customHeight="1">
      <c r="E170" s="2"/>
    </row>
    <row r="171" ht="12.75" customHeight="1">
      <c r="E171" s="2"/>
    </row>
    <row r="172" ht="12.75" customHeight="1">
      <c r="E172" s="2"/>
    </row>
    <row r="173" ht="12.75" customHeight="1">
      <c r="E173" s="2"/>
    </row>
    <row r="174" ht="12.75" customHeight="1">
      <c r="E174" s="2"/>
    </row>
    <row r="175" ht="12.75" customHeight="1">
      <c r="E175" s="2"/>
    </row>
    <row r="176" ht="12.75" customHeight="1">
      <c r="E176" s="2"/>
    </row>
    <row r="177" ht="12.75" customHeight="1">
      <c r="E177" s="2"/>
    </row>
    <row r="178" ht="12.75" customHeight="1">
      <c r="E178" s="2"/>
    </row>
    <row r="179" ht="12.75" customHeight="1">
      <c r="E179" s="2"/>
    </row>
    <row r="180" ht="12.75" customHeight="1">
      <c r="E180" s="2"/>
    </row>
    <row r="181" ht="12.75" customHeight="1">
      <c r="E181" s="2"/>
    </row>
    <row r="182" ht="12.75" customHeight="1">
      <c r="E182" s="2"/>
    </row>
    <row r="183" ht="12.75" customHeight="1">
      <c r="E183" s="2"/>
    </row>
    <row r="184" ht="12.75" customHeight="1">
      <c r="E184" s="2"/>
    </row>
    <row r="185" ht="12.75" customHeight="1">
      <c r="E185" s="2"/>
    </row>
    <row r="186" ht="12.75" customHeight="1">
      <c r="E186" s="2"/>
    </row>
    <row r="187" ht="12.75" customHeight="1">
      <c r="E187" s="2"/>
    </row>
    <row r="188" ht="12.75" customHeight="1">
      <c r="E188" s="2"/>
    </row>
    <row r="189" ht="12.75" customHeight="1">
      <c r="E189" s="2"/>
    </row>
    <row r="190" ht="12.75" customHeight="1">
      <c r="E190" s="2"/>
    </row>
    <row r="191" ht="12.75" customHeight="1">
      <c r="E191" s="2"/>
    </row>
    <row r="192" ht="12.75" customHeight="1">
      <c r="E192" s="2"/>
    </row>
    <row r="193" ht="12.75" customHeight="1">
      <c r="E193" s="2"/>
    </row>
    <row r="194" ht="12.75" customHeight="1">
      <c r="E194" s="2"/>
    </row>
    <row r="195" ht="12.75" customHeight="1">
      <c r="E195" s="2"/>
    </row>
    <row r="196" ht="12.75" customHeight="1">
      <c r="E196" s="2"/>
    </row>
    <row r="197" ht="12.75" customHeight="1">
      <c r="E197" s="2"/>
    </row>
    <row r="198" ht="12.75" customHeight="1">
      <c r="E198" s="2"/>
    </row>
    <row r="199" ht="12.75" customHeight="1">
      <c r="E199" s="2"/>
    </row>
    <row r="200" ht="12.75" customHeight="1">
      <c r="E200" s="2"/>
    </row>
    <row r="201" ht="12.75" customHeight="1">
      <c r="E201" s="2"/>
    </row>
    <row r="202" ht="12.75" customHeight="1">
      <c r="E202" s="2"/>
    </row>
    <row r="203" ht="12.75" customHeight="1">
      <c r="E203" s="2"/>
    </row>
    <row r="204" ht="12.75" customHeight="1">
      <c r="E204" s="2"/>
    </row>
    <row r="205" ht="12.75" customHeight="1">
      <c r="E205" s="2"/>
    </row>
    <row r="206" ht="12.75" customHeight="1">
      <c r="E206" s="2"/>
    </row>
    <row r="207" ht="12.75" customHeight="1">
      <c r="E207" s="2"/>
    </row>
    <row r="208" ht="12.75" customHeight="1">
      <c r="E208" s="2"/>
    </row>
    <row r="209" ht="12.75" customHeight="1">
      <c r="E209" s="2"/>
    </row>
    <row r="210" ht="12.75" customHeight="1">
      <c r="E210" s="2"/>
    </row>
    <row r="211" ht="12.75" customHeight="1">
      <c r="E211" s="2"/>
    </row>
    <row r="212" ht="12.75" customHeight="1">
      <c r="E212" s="2"/>
    </row>
    <row r="213" ht="12.75" customHeight="1">
      <c r="E213" s="2"/>
    </row>
    <row r="214" ht="12.75" customHeight="1">
      <c r="E214" s="2"/>
    </row>
    <row r="215" ht="12.75" customHeight="1">
      <c r="E215" s="2"/>
    </row>
    <row r="216" ht="12.75" customHeight="1">
      <c r="E216" s="2"/>
    </row>
    <row r="217" ht="12.75" customHeight="1">
      <c r="E217" s="2"/>
    </row>
    <row r="218" ht="12.75" customHeight="1">
      <c r="E218" s="2"/>
    </row>
    <row r="219" ht="12.75" customHeight="1">
      <c r="E219" s="2"/>
    </row>
    <row r="220" ht="12.75" customHeight="1">
      <c r="E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conditionalFormatting sqref="E1:E1000 F8:F10">
    <cfRule type="notContainsBlanks" dxfId="0" priority="1">
      <formula>LEN(TRIM(E1))&gt;0</formula>
    </cfRule>
  </conditionalFormatting>
  <conditionalFormatting sqref="G8:G10">
    <cfRule type="notContainsBlanks" dxfId="0" priority="2">
      <formula>LEN(TRIM(G8))&gt;0</formula>
    </cfRule>
  </conditionalFormatting>
  <conditionalFormatting sqref="H8:H10">
    <cfRule type="notContainsBlanks" dxfId="0" priority="3">
      <formula>LEN(TRIM(H8))&gt;0</formula>
    </cfRule>
  </conditionalFormatting>
  <hyperlinks>
    <hyperlink r:id="rId1" location="polycard_client=search-nordic&amp;search_layout=grid&amp;position=1&amp;type=product&amp;tracking_id=7b3eae12-f0c8-4ffc-8858-b5119d232485&amp;wid=MCO2848485534&amp;sid=search" ref="C8"/>
    <hyperlink r:id="rId2" ref="C9"/>
    <hyperlink r:id="rId3" ref="C10"/>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47.38"/>
    <col customWidth="1" min="4" max="4" width="28.63"/>
    <col customWidth="1" min="5" max="6" width="17.0"/>
    <col customWidth="1" min="7" max="7" width="18.0"/>
    <col customWidth="1" min="8" max="8" width="25.88"/>
    <col customWidth="1" min="9" max="9" width="19.13"/>
    <col customWidth="1" min="10" max="10" width="43.38"/>
    <col customWidth="1" min="11" max="26" width="10.0"/>
  </cols>
  <sheetData>
    <row r="1" ht="12.75" customHeight="1">
      <c r="E1" s="2"/>
    </row>
    <row r="2" ht="27.75" customHeight="1">
      <c r="D2" s="3" t="s">
        <v>0</v>
      </c>
    </row>
    <row r="3" ht="12.75" customHeight="1">
      <c r="E3" s="2"/>
    </row>
    <row r="4" ht="12.75" customHeight="1">
      <c r="E4" s="2"/>
    </row>
    <row r="5" ht="43.5" customHeight="1">
      <c r="A5" s="4" t="s">
        <v>1</v>
      </c>
      <c r="B5" s="5"/>
      <c r="C5" s="5"/>
      <c r="D5" s="5"/>
      <c r="E5" s="5"/>
      <c r="F5" s="5"/>
      <c r="G5" s="5"/>
      <c r="H5" s="5"/>
      <c r="I5" s="5"/>
      <c r="J5" s="6"/>
    </row>
    <row r="6" ht="15.75" customHeight="1">
      <c r="E6" s="2"/>
    </row>
    <row r="7" ht="75.75" customHeight="1">
      <c r="A7" s="7" t="s">
        <v>2</v>
      </c>
      <c r="B7" s="8" t="s">
        <v>30</v>
      </c>
      <c r="C7" s="8" t="s">
        <v>31</v>
      </c>
      <c r="D7" s="8" t="s">
        <v>32</v>
      </c>
      <c r="E7" s="9" t="s">
        <v>33</v>
      </c>
      <c r="F7" s="10" t="s">
        <v>34</v>
      </c>
      <c r="G7" s="11" t="s">
        <v>35</v>
      </c>
      <c r="H7" s="12" t="s">
        <v>9</v>
      </c>
      <c r="I7" s="8" t="s">
        <v>36</v>
      </c>
      <c r="J7" s="32" t="s">
        <v>37</v>
      </c>
      <c r="K7" s="13"/>
      <c r="L7" s="13"/>
      <c r="M7" s="13"/>
      <c r="N7" s="13"/>
      <c r="O7" s="13"/>
      <c r="P7" s="13"/>
      <c r="Q7" s="13"/>
      <c r="R7" s="13"/>
      <c r="S7" s="13"/>
      <c r="T7" s="13"/>
      <c r="U7" s="13"/>
      <c r="V7" s="13"/>
      <c r="W7" s="13"/>
      <c r="X7" s="13"/>
      <c r="Y7" s="13"/>
      <c r="Z7" s="13"/>
    </row>
    <row r="8" ht="93.75" customHeight="1">
      <c r="A8" s="14" t="s">
        <v>12</v>
      </c>
      <c r="B8" s="15" t="s">
        <v>38</v>
      </c>
      <c r="C8" s="16" t="s">
        <v>39</v>
      </c>
      <c r="D8" s="33" t="s">
        <v>40</v>
      </c>
      <c r="E8" s="34">
        <v>79900.0</v>
      </c>
      <c r="F8" s="35">
        <f t="shared" ref="F8:F10" si="1">E8*19%</f>
        <v>15181</v>
      </c>
      <c r="G8" s="20">
        <f t="shared" ref="G8:G10" si="2">E8/446620</f>
        <v>0.178899288</v>
      </c>
      <c r="H8" s="20">
        <f t="shared" ref="H8:H10" si="3">F8/G8</f>
        <v>84857.8</v>
      </c>
      <c r="I8" s="36" t="s">
        <v>16</v>
      </c>
      <c r="J8" s="37" t="s">
        <v>41</v>
      </c>
    </row>
    <row r="9" ht="155.25" customHeight="1">
      <c r="A9" s="14" t="s">
        <v>18</v>
      </c>
      <c r="B9" s="15" t="s">
        <v>13</v>
      </c>
      <c r="C9" s="16" t="s">
        <v>42</v>
      </c>
      <c r="D9" s="33" t="s">
        <v>40</v>
      </c>
      <c r="E9" s="34">
        <v>86858.0</v>
      </c>
      <c r="F9" s="35">
        <f t="shared" si="1"/>
        <v>16503.02</v>
      </c>
      <c r="G9" s="20">
        <f t="shared" si="2"/>
        <v>0.1944785276</v>
      </c>
      <c r="H9" s="20">
        <f t="shared" si="3"/>
        <v>84857.8</v>
      </c>
      <c r="I9" s="36" t="s">
        <v>16</v>
      </c>
      <c r="J9" s="38" t="s">
        <v>43</v>
      </c>
    </row>
    <row r="10">
      <c r="A10" s="14" t="s">
        <v>23</v>
      </c>
      <c r="B10" s="15" t="s">
        <v>44</v>
      </c>
      <c r="C10" s="39" t="s">
        <v>45</v>
      </c>
      <c r="D10" s="33" t="s">
        <v>40</v>
      </c>
      <c r="E10" s="18">
        <v>577457.0</v>
      </c>
      <c r="F10" s="35">
        <f t="shared" si="1"/>
        <v>109716.83</v>
      </c>
      <c r="G10" s="20">
        <f t="shared" si="2"/>
        <v>1.292949263</v>
      </c>
      <c r="H10" s="20">
        <f t="shared" si="3"/>
        <v>84857.8</v>
      </c>
      <c r="I10" s="36" t="s">
        <v>16</v>
      </c>
      <c r="J10" s="40" t="s">
        <v>46</v>
      </c>
    </row>
    <row r="11" ht="15.75" customHeight="1">
      <c r="A11" s="24"/>
      <c r="B11" s="25"/>
      <c r="C11" s="25"/>
      <c r="D11" s="25"/>
      <c r="E11" s="26"/>
      <c r="F11" s="25"/>
      <c r="G11" s="27"/>
      <c r="H11" s="27"/>
      <c r="I11" s="21"/>
      <c r="J11" s="41"/>
    </row>
    <row r="12" ht="28.5" customHeight="1">
      <c r="E12" s="2"/>
      <c r="G12" s="27"/>
      <c r="H12" s="27"/>
      <c r="J12" s="41"/>
    </row>
    <row r="13" ht="138.75" customHeight="1">
      <c r="A13" s="28" t="s">
        <v>47</v>
      </c>
      <c r="B13" s="5"/>
      <c r="C13" s="5"/>
      <c r="D13" s="5"/>
      <c r="E13" s="5"/>
      <c r="F13" s="5"/>
      <c r="G13" s="5"/>
      <c r="H13" s="5"/>
      <c r="I13" s="5"/>
      <c r="J13" s="6"/>
    </row>
    <row r="14" ht="12.75" customHeight="1">
      <c r="E14" s="2"/>
    </row>
    <row r="15" ht="75.0" customHeight="1">
      <c r="A15" s="28" t="s">
        <v>48</v>
      </c>
      <c r="B15" s="5"/>
      <c r="C15" s="5"/>
      <c r="D15" s="5"/>
      <c r="E15" s="5"/>
      <c r="F15" s="5"/>
      <c r="G15" s="5"/>
      <c r="H15" s="5"/>
      <c r="I15" s="5"/>
      <c r="J15" s="6"/>
    </row>
    <row r="16" ht="12.75" customHeight="1">
      <c r="E16" s="2"/>
    </row>
    <row r="17" ht="12.75" customHeight="1">
      <c r="E17" s="2"/>
    </row>
    <row r="18" ht="12.75" customHeight="1">
      <c r="E18" s="2"/>
    </row>
    <row r="19" ht="12.75" customHeight="1">
      <c r="E19" s="2"/>
    </row>
    <row r="20" ht="12.75" customHeight="1">
      <c r="E20" s="2"/>
    </row>
    <row r="21" ht="12.75" customHeight="1">
      <c r="E21" s="2"/>
    </row>
    <row r="22" ht="12.75" customHeight="1">
      <c r="E22" s="2"/>
    </row>
    <row r="23" ht="12.75" customHeight="1">
      <c r="E23" s="2"/>
    </row>
    <row r="24" ht="12.75" customHeight="1">
      <c r="E24" s="2"/>
    </row>
    <row r="25" ht="12.75" customHeight="1">
      <c r="E25" s="2"/>
    </row>
    <row r="26" ht="12.75" customHeight="1">
      <c r="D26" s="29"/>
      <c r="E26" s="30"/>
      <c r="F26" s="31"/>
      <c r="G26" s="31"/>
    </row>
    <row r="27" ht="12.75" customHeight="1">
      <c r="E27" s="2"/>
    </row>
    <row r="28" ht="12.75" customHeight="1">
      <c r="E28" s="2"/>
    </row>
    <row r="29" ht="12.75" customHeight="1">
      <c r="E29" s="2"/>
    </row>
    <row r="30" ht="12.75" customHeight="1">
      <c r="E30" s="2"/>
    </row>
    <row r="31" ht="12.75" customHeight="1">
      <c r="E31" s="2"/>
    </row>
    <row r="32" ht="12.75" customHeight="1">
      <c r="E32" s="2"/>
    </row>
    <row r="33" ht="12.75" customHeight="1">
      <c r="E33" s="2"/>
    </row>
    <row r="34" ht="12.75" customHeight="1">
      <c r="E34" s="2"/>
    </row>
    <row r="35" ht="12.75" customHeight="1">
      <c r="E35" s="2"/>
    </row>
    <row r="36" ht="12.75" customHeight="1">
      <c r="E36" s="2"/>
    </row>
    <row r="37" ht="12.75" customHeight="1">
      <c r="E37" s="2"/>
    </row>
    <row r="38" ht="12.75" customHeight="1">
      <c r="E38" s="2"/>
    </row>
    <row r="39" ht="12.75" customHeight="1">
      <c r="E39" s="2"/>
    </row>
    <row r="40" ht="12.75" customHeight="1">
      <c r="E40" s="2"/>
    </row>
    <row r="41" ht="12.75" customHeight="1">
      <c r="E41" s="2"/>
    </row>
    <row r="42" ht="12.75" customHeight="1">
      <c r="E42" s="2"/>
    </row>
    <row r="43" ht="12.75" customHeight="1">
      <c r="E43" s="2"/>
    </row>
    <row r="44" ht="12.75" customHeight="1">
      <c r="E44" s="2"/>
    </row>
    <row r="45" ht="12.75" customHeight="1">
      <c r="E45" s="2"/>
    </row>
    <row r="46" ht="12.75" customHeight="1">
      <c r="E46" s="2"/>
    </row>
    <row r="47" ht="12.75" customHeight="1">
      <c r="E47" s="2"/>
    </row>
    <row r="48" ht="12.75" customHeight="1">
      <c r="E48" s="2"/>
    </row>
    <row r="49" ht="12.75" customHeight="1">
      <c r="E49" s="2"/>
    </row>
    <row r="50" ht="12.75" customHeight="1">
      <c r="E50" s="2"/>
    </row>
    <row r="51" ht="12.75" customHeight="1">
      <c r="E51" s="2"/>
    </row>
    <row r="52" ht="12.75" customHeight="1">
      <c r="E52" s="2"/>
    </row>
    <row r="53" ht="12.75" customHeight="1">
      <c r="E53" s="2"/>
    </row>
    <row r="54" ht="12.75" customHeight="1">
      <c r="E54" s="2"/>
    </row>
    <row r="55" ht="12.75" customHeight="1">
      <c r="E55" s="2"/>
    </row>
    <row r="56" ht="12.75" customHeight="1">
      <c r="E56" s="2"/>
    </row>
    <row r="57" ht="12.75" customHeight="1">
      <c r="E57" s="2"/>
    </row>
    <row r="58" ht="12.75" customHeight="1">
      <c r="E58" s="2"/>
    </row>
    <row r="59" ht="12.75" customHeight="1">
      <c r="E59" s="2"/>
    </row>
    <row r="60" ht="12.75" customHeight="1">
      <c r="E60" s="2"/>
    </row>
    <row r="61" ht="12.75" customHeight="1">
      <c r="E61" s="2"/>
    </row>
    <row r="62" ht="12.75" customHeight="1">
      <c r="E62" s="2"/>
    </row>
    <row r="63" ht="12.75" customHeight="1">
      <c r="E63" s="2"/>
    </row>
    <row r="64" ht="12.75" customHeight="1">
      <c r="E64" s="2"/>
    </row>
    <row r="65" ht="12.75" customHeight="1">
      <c r="E65" s="2"/>
    </row>
    <row r="66" ht="12.75" customHeight="1">
      <c r="E66" s="2"/>
    </row>
    <row r="67" ht="12.75" customHeight="1">
      <c r="E67" s="2"/>
    </row>
    <row r="68" ht="12.75" customHeight="1">
      <c r="E68" s="2"/>
    </row>
    <row r="69" ht="12.75" customHeight="1">
      <c r="E69" s="2"/>
    </row>
    <row r="70" ht="12.75" customHeight="1">
      <c r="E70" s="2"/>
    </row>
    <row r="71" ht="12.75" customHeight="1">
      <c r="E71" s="2"/>
    </row>
    <row r="72" ht="12.75" customHeight="1">
      <c r="E72" s="2"/>
    </row>
    <row r="73" ht="12.75" customHeight="1">
      <c r="E73" s="2"/>
    </row>
    <row r="74" ht="12.75" customHeight="1">
      <c r="E74" s="2"/>
    </row>
    <row r="75" ht="12.75" customHeight="1">
      <c r="E75" s="2"/>
    </row>
    <row r="76" ht="12.75" customHeight="1">
      <c r="E76" s="2"/>
    </row>
    <row r="77" ht="12.75" customHeight="1">
      <c r="E77" s="2"/>
    </row>
    <row r="78" ht="12.75" customHeight="1">
      <c r="E78" s="2"/>
    </row>
    <row r="79" ht="12.75" customHeight="1">
      <c r="E79" s="2"/>
    </row>
    <row r="80" ht="12.75" customHeight="1">
      <c r="E80" s="2"/>
    </row>
    <row r="81" ht="12.75" customHeight="1">
      <c r="E81" s="2"/>
    </row>
    <row r="82" ht="12.75" customHeight="1">
      <c r="E82" s="2"/>
    </row>
    <row r="83" ht="12.75" customHeight="1">
      <c r="E83" s="2"/>
    </row>
    <row r="84" ht="12.75" customHeight="1">
      <c r="E84" s="2"/>
    </row>
    <row r="85" ht="12.75" customHeight="1">
      <c r="E85" s="2"/>
    </row>
    <row r="86" ht="12.75" customHeight="1">
      <c r="E86" s="2"/>
    </row>
    <row r="87" ht="12.75" customHeight="1">
      <c r="E87" s="2"/>
    </row>
    <row r="88" ht="12.75" customHeight="1">
      <c r="E88" s="2"/>
    </row>
    <row r="89" ht="12.75" customHeight="1">
      <c r="E89" s="2"/>
    </row>
    <row r="90" ht="12.75" customHeight="1">
      <c r="E90" s="2"/>
    </row>
    <row r="91" ht="12.75" customHeight="1">
      <c r="E91" s="2"/>
    </row>
    <row r="92" ht="12.75" customHeight="1">
      <c r="E92" s="2"/>
    </row>
    <row r="93" ht="12.75" customHeight="1">
      <c r="E93" s="2"/>
    </row>
    <row r="94" ht="12.75" customHeight="1">
      <c r="E94" s="2"/>
    </row>
    <row r="95" ht="12.75" customHeight="1">
      <c r="E95" s="2"/>
    </row>
    <row r="96" ht="12.75" customHeight="1">
      <c r="E96" s="2"/>
    </row>
    <row r="97" ht="12.75" customHeight="1">
      <c r="E97" s="2"/>
    </row>
    <row r="98" ht="12.75" customHeight="1">
      <c r="E98" s="2"/>
    </row>
    <row r="99" ht="12.75" customHeight="1">
      <c r="E99" s="2"/>
    </row>
    <row r="100" ht="12.75" customHeight="1">
      <c r="E100" s="2"/>
    </row>
    <row r="101" ht="12.75" customHeight="1">
      <c r="E101" s="2"/>
    </row>
    <row r="102" ht="12.75" customHeight="1">
      <c r="E102" s="2"/>
    </row>
    <row r="103" ht="12.75" customHeight="1">
      <c r="E103" s="2"/>
    </row>
    <row r="104" ht="12.75" customHeight="1">
      <c r="E104" s="2"/>
    </row>
    <row r="105" ht="12.75" customHeight="1">
      <c r="E105" s="2"/>
    </row>
    <row r="106" ht="12.75" customHeight="1">
      <c r="E106" s="2"/>
    </row>
    <row r="107" ht="12.75" customHeight="1">
      <c r="E107" s="2"/>
    </row>
    <row r="108" ht="12.75" customHeight="1">
      <c r="E108" s="2"/>
    </row>
    <row r="109" ht="12.75" customHeight="1">
      <c r="E109" s="2"/>
    </row>
    <row r="110" ht="12.75" customHeight="1">
      <c r="E110" s="2"/>
    </row>
    <row r="111" ht="12.75" customHeight="1">
      <c r="E111" s="2"/>
    </row>
    <row r="112" ht="12.75" customHeight="1">
      <c r="E112" s="2"/>
    </row>
    <row r="113" ht="12.75" customHeight="1">
      <c r="E113" s="2"/>
    </row>
    <row r="114" ht="12.75" customHeight="1">
      <c r="E114" s="2"/>
    </row>
    <row r="115" ht="12.75" customHeight="1">
      <c r="E115" s="2"/>
    </row>
    <row r="116" ht="12.75" customHeight="1">
      <c r="E116" s="2"/>
    </row>
    <row r="117" ht="12.75" customHeight="1">
      <c r="E117" s="2"/>
    </row>
    <row r="118" ht="12.75" customHeight="1">
      <c r="E118" s="2"/>
    </row>
    <row r="119" ht="12.75" customHeight="1">
      <c r="E119" s="2"/>
    </row>
    <row r="120" ht="12.75" customHeight="1">
      <c r="E120" s="2"/>
    </row>
    <row r="121" ht="12.75" customHeight="1">
      <c r="E121" s="2"/>
    </row>
    <row r="122" ht="12.75" customHeight="1">
      <c r="E122" s="2"/>
    </row>
    <row r="123" ht="12.75" customHeight="1">
      <c r="E123" s="2"/>
    </row>
    <row r="124" ht="12.75" customHeight="1">
      <c r="E124" s="2"/>
    </row>
    <row r="125" ht="12.75" customHeight="1">
      <c r="E125" s="2"/>
    </row>
    <row r="126" ht="12.75" customHeight="1">
      <c r="E126" s="2"/>
    </row>
    <row r="127" ht="12.75" customHeight="1">
      <c r="E127" s="2"/>
    </row>
    <row r="128" ht="12.75" customHeight="1">
      <c r="E128" s="2"/>
    </row>
    <row r="129" ht="12.75" customHeight="1">
      <c r="E129" s="2"/>
    </row>
    <row r="130" ht="12.75" customHeight="1">
      <c r="E130" s="2"/>
    </row>
    <row r="131" ht="12.75" customHeight="1">
      <c r="E131" s="2"/>
    </row>
    <row r="132" ht="12.75" customHeight="1">
      <c r="E132" s="2"/>
    </row>
    <row r="133" ht="12.75" customHeight="1">
      <c r="E133" s="2"/>
    </row>
    <row r="134" ht="12.75" customHeight="1">
      <c r="E134" s="2"/>
    </row>
    <row r="135" ht="12.75" customHeight="1">
      <c r="E135" s="2"/>
    </row>
    <row r="136" ht="12.75" customHeight="1">
      <c r="E136" s="2"/>
    </row>
    <row r="137" ht="12.75" customHeight="1">
      <c r="E137" s="2"/>
    </row>
    <row r="138" ht="12.75" customHeight="1">
      <c r="E138" s="2"/>
    </row>
    <row r="139" ht="12.75" customHeight="1">
      <c r="E139" s="2"/>
    </row>
    <row r="140" ht="12.75" customHeight="1">
      <c r="E140" s="2"/>
    </row>
    <row r="141" ht="12.75" customHeight="1">
      <c r="E141" s="2"/>
    </row>
    <row r="142" ht="12.75" customHeight="1">
      <c r="E142" s="2"/>
    </row>
    <row r="143" ht="12.75" customHeight="1">
      <c r="E143" s="2"/>
    </row>
    <row r="144" ht="12.75" customHeight="1">
      <c r="E144" s="2"/>
    </row>
    <row r="145" ht="12.75" customHeight="1">
      <c r="E145" s="2"/>
    </row>
    <row r="146" ht="12.75" customHeight="1">
      <c r="E146" s="2"/>
    </row>
    <row r="147" ht="12.75" customHeight="1">
      <c r="E147" s="2"/>
    </row>
    <row r="148" ht="12.75" customHeight="1">
      <c r="E148" s="2"/>
    </row>
    <row r="149" ht="12.75" customHeight="1">
      <c r="E149" s="2"/>
    </row>
    <row r="150" ht="12.75" customHeight="1">
      <c r="E150" s="2"/>
    </row>
    <row r="151" ht="12.75" customHeight="1">
      <c r="E151" s="2"/>
    </row>
    <row r="152" ht="12.75" customHeight="1">
      <c r="E152" s="2"/>
    </row>
    <row r="153" ht="12.75" customHeight="1">
      <c r="E153" s="2"/>
    </row>
    <row r="154" ht="12.75" customHeight="1">
      <c r="E154" s="2"/>
    </row>
    <row r="155" ht="12.75" customHeight="1">
      <c r="E155" s="2"/>
    </row>
    <row r="156" ht="12.75" customHeight="1">
      <c r="E156" s="2"/>
    </row>
    <row r="157" ht="12.75" customHeight="1">
      <c r="E157" s="2"/>
    </row>
    <row r="158" ht="12.75" customHeight="1">
      <c r="E158" s="2"/>
    </row>
    <row r="159" ht="12.75" customHeight="1">
      <c r="E159" s="2"/>
    </row>
    <row r="160" ht="12.75" customHeight="1">
      <c r="E160" s="2"/>
    </row>
    <row r="161" ht="12.75" customHeight="1">
      <c r="E161" s="2"/>
    </row>
    <row r="162" ht="12.75" customHeight="1">
      <c r="E162" s="2"/>
    </row>
    <row r="163" ht="12.75" customHeight="1">
      <c r="E163" s="2"/>
    </row>
    <row r="164" ht="12.75" customHeight="1">
      <c r="E164" s="2"/>
    </row>
    <row r="165" ht="12.75" customHeight="1">
      <c r="E165" s="2"/>
    </row>
    <row r="166" ht="12.75" customHeight="1">
      <c r="E166" s="2"/>
    </row>
    <row r="167" ht="12.75" customHeight="1">
      <c r="E167" s="2"/>
    </row>
    <row r="168" ht="12.75" customHeight="1">
      <c r="E168" s="2"/>
    </row>
    <row r="169" ht="12.75" customHeight="1">
      <c r="E169" s="2"/>
    </row>
    <row r="170" ht="12.75" customHeight="1">
      <c r="E170" s="2"/>
    </row>
    <row r="171" ht="12.75" customHeight="1">
      <c r="E171" s="2"/>
    </row>
    <row r="172" ht="12.75" customHeight="1">
      <c r="E172" s="2"/>
    </row>
    <row r="173" ht="12.75" customHeight="1">
      <c r="E173" s="2"/>
    </row>
    <row r="174" ht="12.75" customHeight="1">
      <c r="E174" s="2"/>
    </row>
    <row r="175" ht="12.75" customHeight="1">
      <c r="E175" s="2"/>
    </row>
    <row r="176" ht="12.75" customHeight="1">
      <c r="E176" s="2"/>
    </row>
    <row r="177" ht="12.75" customHeight="1">
      <c r="E177" s="2"/>
    </row>
    <row r="178" ht="12.75" customHeight="1">
      <c r="E178" s="2"/>
    </row>
    <row r="179" ht="12.75" customHeight="1">
      <c r="E179" s="2"/>
    </row>
    <row r="180" ht="12.75" customHeight="1">
      <c r="E180" s="2"/>
    </row>
    <row r="181" ht="12.75" customHeight="1">
      <c r="E181" s="2"/>
    </row>
    <row r="182" ht="12.75" customHeight="1">
      <c r="E182" s="2"/>
    </row>
    <row r="183" ht="12.75" customHeight="1">
      <c r="E183" s="2"/>
    </row>
    <row r="184" ht="12.75" customHeight="1">
      <c r="E184" s="2"/>
    </row>
    <row r="185" ht="12.75" customHeight="1">
      <c r="E185" s="2"/>
    </row>
    <row r="186" ht="12.75" customHeight="1">
      <c r="E186" s="2"/>
    </row>
    <row r="187" ht="12.75" customHeight="1">
      <c r="E187" s="2"/>
    </row>
    <row r="188" ht="12.75" customHeight="1">
      <c r="E188" s="2"/>
    </row>
    <row r="189" ht="12.75" customHeight="1">
      <c r="E189" s="2"/>
    </row>
    <row r="190" ht="12.75" customHeight="1">
      <c r="E190" s="2"/>
    </row>
    <row r="191" ht="12.75" customHeight="1">
      <c r="E191" s="2"/>
    </row>
    <row r="192" ht="12.75" customHeight="1">
      <c r="E192" s="2"/>
    </row>
    <row r="193" ht="12.75" customHeight="1">
      <c r="E193" s="2"/>
    </row>
    <row r="194" ht="12.75" customHeight="1">
      <c r="E194" s="2"/>
    </row>
    <row r="195" ht="12.75" customHeight="1">
      <c r="E195" s="2"/>
    </row>
    <row r="196" ht="12.75" customHeight="1">
      <c r="E196" s="2"/>
    </row>
    <row r="197" ht="12.75" customHeight="1">
      <c r="E197" s="2"/>
    </row>
    <row r="198" ht="12.75" customHeight="1">
      <c r="E198" s="2"/>
    </row>
    <row r="199" ht="12.75" customHeight="1">
      <c r="E199" s="2"/>
    </row>
    <row r="200" ht="12.75" customHeight="1">
      <c r="E200" s="2"/>
    </row>
    <row r="201" ht="12.75" customHeight="1">
      <c r="E201" s="2"/>
    </row>
    <row r="202" ht="12.75" customHeight="1">
      <c r="E202" s="2"/>
    </row>
    <row r="203" ht="12.75" customHeight="1">
      <c r="E203" s="2"/>
    </row>
    <row r="204" ht="12.75" customHeight="1">
      <c r="E204" s="2"/>
    </row>
    <row r="205" ht="12.75" customHeight="1">
      <c r="E205" s="2"/>
    </row>
    <row r="206" ht="12.75" customHeight="1">
      <c r="E206" s="2"/>
    </row>
    <row r="207" ht="12.75" customHeight="1">
      <c r="E207" s="2"/>
    </row>
    <row r="208" ht="12.75" customHeight="1">
      <c r="E208" s="2"/>
    </row>
    <row r="209" ht="12.75" customHeight="1">
      <c r="E209" s="2"/>
    </row>
    <row r="210" ht="12.75" customHeight="1">
      <c r="E210" s="2"/>
    </row>
    <row r="211" ht="12.75" customHeight="1">
      <c r="E211" s="2"/>
    </row>
    <row r="212" ht="12.75" customHeight="1">
      <c r="E212" s="2"/>
    </row>
    <row r="213" ht="12.75" customHeight="1">
      <c r="E213" s="2"/>
    </row>
    <row r="214" ht="12.75" customHeight="1">
      <c r="E214" s="2"/>
    </row>
    <row r="215" ht="12.75" customHeight="1">
      <c r="E215" s="2"/>
    </row>
    <row r="216" ht="12.75" customHeight="1">
      <c r="E216" s="2"/>
    </row>
    <row r="217" ht="12.75" customHeight="1">
      <c r="E217" s="2"/>
    </row>
    <row r="218" ht="12.75" customHeight="1">
      <c r="E218" s="2"/>
    </row>
    <row r="219" ht="12.75" customHeight="1">
      <c r="E219" s="2"/>
    </row>
    <row r="220" ht="12.75" customHeight="1">
      <c r="E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conditionalFormatting sqref="E1:E1000 F8:F10">
    <cfRule type="notContainsBlanks" dxfId="0" priority="1">
      <formula>LEN(TRIM(E1))&gt;0</formula>
    </cfRule>
  </conditionalFormatting>
  <conditionalFormatting sqref="G8:H10">
    <cfRule type="notContainsBlanks" dxfId="0" priority="2">
      <formula>LEN(TRIM(G8))&gt;0</formula>
    </cfRule>
  </conditionalFormatting>
  <hyperlinks>
    <hyperlink r:id="rId1" location="polycard_client=search-nordic&amp;search_layout=grid&amp;position=18&amp;type=product&amp;tracking_id=67cc2a59-83d6-4050-af4f-70867d0c4f47&amp;wid=MCO1489352363&amp;sid=search" ref="C9"/>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63.63"/>
    <col customWidth="1" min="4" max="4" width="28.63"/>
    <col customWidth="1" min="5" max="6" width="17.0"/>
    <col customWidth="1" min="7" max="7" width="18.0"/>
    <col customWidth="1" min="8" max="8" width="25.88"/>
    <col customWidth="1" min="9" max="9" width="19.13"/>
    <col customWidth="1" min="10" max="10" width="33.5"/>
    <col customWidth="1" min="11" max="26" width="10.0"/>
  </cols>
  <sheetData>
    <row r="1" ht="12.75" customHeight="1">
      <c r="E1" s="2"/>
    </row>
    <row r="2" ht="27.75" customHeight="1">
      <c r="D2" s="3" t="s">
        <v>0</v>
      </c>
    </row>
    <row r="3" ht="12.75" customHeight="1">
      <c r="E3" s="2"/>
    </row>
    <row r="4" ht="12.75" customHeight="1">
      <c r="E4" s="2"/>
    </row>
    <row r="5" ht="43.5" customHeight="1">
      <c r="A5" s="4" t="s">
        <v>1</v>
      </c>
      <c r="B5" s="5"/>
      <c r="C5" s="5"/>
      <c r="D5" s="5"/>
      <c r="E5" s="5"/>
      <c r="F5" s="5"/>
      <c r="G5" s="5"/>
      <c r="H5" s="5"/>
      <c r="I5" s="5"/>
      <c r="J5" s="6"/>
    </row>
    <row r="6" ht="15.75" customHeight="1">
      <c r="E6" s="2"/>
    </row>
    <row r="7" ht="75.75" customHeight="1">
      <c r="A7" s="7" t="s">
        <v>2</v>
      </c>
      <c r="B7" s="8" t="s">
        <v>49</v>
      </c>
      <c r="C7" s="8" t="s">
        <v>50</v>
      </c>
      <c r="D7" s="8" t="s">
        <v>51</v>
      </c>
      <c r="E7" s="9" t="s">
        <v>52</v>
      </c>
      <c r="F7" s="10" t="s">
        <v>53</v>
      </c>
      <c r="G7" s="11" t="s">
        <v>54</v>
      </c>
      <c r="H7" s="12" t="s">
        <v>9</v>
      </c>
      <c r="I7" s="8" t="s">
        <v>55</v>
      </c>
      <c r="J7" s="8" t="s">
        <v>56</v>
      </c>
      <c r="K7" s="13"/>
      <c r="L7" s="13"/>
      <c r="M7" s="13"/>
      <c r="N7" s="13"/>
      <c r="O7" s="13"/>
      <c r="P7" s="13"/>
      <c r="Q7" s="13"/>
      <c r="R7" s="13"/>
      <c r="S7" s="13"/>
      <c r="T7" s="13"/>
      <c r="U7" s="13"/>
      <c r="V7" s="13"/>
      <c r="W7" s="13"/>
      <c r="X7" s="13"/>
      <c r="Y7" s="13"/>
      <c r="Z7" s="13"/>
    </row>
    <row r="8">
      <c r="A8" s="14" t="s">
        <v>12</v>
      </c>
      <c r="B8" s="15" t="s">
        <v>57</v>
      </c>
      <c r="C8" s="42" t="s">
        <v>58</v>
      </c>
      <c r="D8" s="33" t="s">
        <v>59</v>
      </c>
      <c r="E8" s="43">
        <v>5791197.0</v>
      </c>
      <c r="F8" s="44">
        <f t="shared" ref="F8:F10" si="1">E8*19%</f>
        <v>1100327.43</v>
      </c>
      <c r="G8" s="20">
        <f t="shared" ref="G8:G10" si="2">E8/446620</f>
        <v>12.96672115</v>
      </c>
      <c r="H8" s="20">
        <f t="shared" ref="H8:H10" si="3">F8/G8</f>
        <v>84857.8</v>
      </c>
      <c r="I8" s="15" t="s">
        <v>16</v>
      </c>
      <c r="J8" s="15" t="s">
        <v>60</v>
      </c>
    </row>
    <row r="9" ht="179.25" customHeight="1">
      <c r="A9" s="14" t="s">
        <v>18</v>
      </c>
      <c r="B9" s="15" t="s">
        <v>38</v>
      </c>
      <c r="C9" s="16" t="s">
        <v>61</v>
      </c>
      <c r="D9" s="15" t="s">
        <v>62</v>
      </c>
      <c r="E9" s="43">
        <v>1299000.0</v>
      </c>
      <c r="F9" s="44">
        <f t="shared" si="1"/>
        <v>246810</v>
      </c>
      <c r="G9" s="20">
        <f t="shared" si="2"/>
        <v>2.90851283</v>
      </c>
      <c r="H9" s="20">
        <f t="shared" si="3"/>
        <v>84857.8</v>
      </c>
      <c r="I9" s="15" t="s">
        <v>16</v>
      </c>
      <c r="J9" s="15" t="s">
        <v>63</v>
      </c>
    </row>
    <row r="10" ht="126.75" customHeight="1">
      <c r="A10" s="14" t="s">
        <v>23</v>
      </c>
      <c r="B10" s="15" t="s">
        <v>64</v>
      </c>
      <c r="C10" s="16" t="s">
        <v>65</v>
      </c>
      <c r="D10" s="15" t="s">
        <v>66</v>
      </c>
      <c r="E10" s="43">
        <v>7407345.0</v>
      </c>
      <c r="F10" s="44">
        <f t="shared" si="1"/>
        <v>1407395.55</v>
      </c>
      <c r="G10" s="20">
        <f t="shared" si="2"/>
        <v>16.58534101</v>
      </c>
      <c r="H10" s="20">
        <f t="shared" si="3"/>
        <v>84857.8</v>
      </c>
      <c r="I10" s="15" t="s">
        <v>16</v>
      </c>
      <c r="J10" s="15" t="s">
        <v>67</v>
      </c>
    </row>
    <row r="11" ht="15.0" hidden="1" customHeight="1">
      <c r="A11" s="24"/>
      <c r="B11" s="25"/>
      <c r="C11" s="25"/>
      <c r="D11" s="25"/>
      <c r="E11" s="26"/>
      <c r="F11" s="25"/>
      <c r="G11" s="27" t="s">
        <v>27</v>
      </c>
      <c r="H11" s="27" t="s">
        <v>27</v>
      </c>
      <c r="I11" s="21" t="s">
        <v>16</v>
      </c>
      <c r="J11" s="25"/>
    </row>
    <row r="12" ht="28.5" customHeight="1">
      <c r="E12" s="2"/>
      <c r="G12" s="27"/>
      <c r="H12" s="27"/>
    </row>
    <row r="13" ht="138.75" customHeight="1">
      <c r="A13" s="28" t="s">
        <v>68</v>
      </c>
      <c r="B13" s="5"/>
      <c r="C13" s="5"/>
      <c r="D13" s="5"/>
      <c r="E13" s="5"/>
      <c r="F13" s="5"/>
      <c r="G13" s="5"/>
      <c r="H13" s="5"/>
      <c r="I13" s="5"/>
      <c r="J13" s="6"/>
    </row>
    <row r="14" ht="12.75" customHeight="1">
      <c r="E14" s="2"/>
    </row>
    <row r="15" ht="75.0" customHeight="1">
      <c r="A15" s="28" t="s">
        <v>69</v>
      </c>
      <c r="B15" s="5"/>
      <c r="C15" s="5"/>
      <c r="D15" s="5"/>
      <c r="E15" s="5"/>
      <c r="F15" s="5"/>
      <c r="G15" s="5"/>
      <c r="H15" s="5"/>
      <c r="I15" s="5"/>
      <c r="J15" s="6"/>
    </row>
    <row r="16" ht="12.75" customHeight="1">
      <c r="E16" s="2"/>
    </row>
    <row r="17" ht="12.75" customHeight="1">
      <c r="E17" s="2"/>
    </row>
    <row r="18" ht="12.75" customHeight="1">
      <c r="E18" s="2"/>
    </row>
    <row r="19" ht="12.75" customHeight="1">
      <c r="E19" s="2"/>
    </row>
    <row r="20" ht="12.75" customHeight="1">
      <c r="E20" s="2"/>
    </row>
    <row r="21" ht="12.75" customHeight="1">
      <c r="E21" s="2"/>
    </row>
    <row r="22" ht="12.75" customHeight="1">
      <c r="E22" s="2"/>
    </row>
    <row r="23" ht="12.75" customHeight="1">
      <c r="E23" s="2"/>
    </row>
    <row r="24" ht="12.75" customHeight="1">
      <c r="E24" s="2"/>
    </row>
    <row r="25" ht="12.75" customHeight="1">
      <c r="E25" s="2"/>
    </row>
    <row r="26" ht="12.75" customHeight="1">
      <c r="D26" s="29"/>
      <c r="E26" s="30"/>
      <c r="F26" s="31"/>
      <c r="G26" s="31"/>
    </row>
    <row r="27" ht="12.75" customHeight="1">
      <c r="E27" s="2"/>
    </row>
    <row r="28" ht="12.75" customHeight="1">
      <c r="E28" s="2"/>
    </row>
    <row r="29" ht="12.75" customHeight="1">
      <c r="E29" s="2"/>
    </row>
    <row r="30" ht="12.75" customHeight="1">
      <c r="E30" s="2"/>
    </row>
    <row r="31" ht="12.75" customHeight="1">
      <c r="E31" s="2"/>
    </row>
    <row r="32" ht="12.75" customHeight="1">
      <c r="E32" s="2"/>
    </row>
    <row r="33" ht="12.75" customHeight="1">
      <c r="E33" s="2"/>
    </row>
    <row r="34" ht="12.75" customHeight="1">
      <c r="E34" s="2"/>
    </row>
    <row r="35" ht="12.75" customHeight="1">
      <c r="E35" s="2"/>
    </row>
    <row r="36" ht="12.75" customHeight="1">
      <c r="E36" s="2"/>
    </row>
    <row r="37" ht="12.75" customHeight="1">
      <c r="E37" s="2"/>
    </row>
    <row r="38" ht="12.75" customHeight="1">
      <c r="E38" s="2"/>
    </row>
    <row r="39" ht="12.75" customHeight="1">
      <c r="E39" s="2"/>
    </row>
    <row r="40" ht="12.75" customHeight="1">
      <c r="E40" s="2"/>
    </row>
    <row r="41" ht="12.75" customHeight="1">
      <c r="E41" s="2"/>
    </row>
    <row r="42" ht="12.75" customHeight="1">
      <c r="E42" s="2"/>
    </row>
    <row r="43" ht="12.75" customHeight="1">
      <c r="E43" s="2"/>
    </row>
    <row r="44" ht="12.75" customHeight="1">
      <c r="E44" s="2"/>
    </row>
    <row r="45" ht="12.75" customHeight="1">
      <c r="E45" s="2"/>
    </row>
    <row r="46" ht="12.75" customHeight="1">
      <c r="E46" s="2"/>
    </row>
    <row r="47" ht="12.75" customHeight="1">
      <c r="E47" s="2"/>
    </row>
    <row r="48" ht="12.75" customHeight="1">
      <c r="E48" s="2"/>
    </row>
    <row r="49" ht="12.75" customHeight="1">
      <c r="E49" s="2"/>
    </row>
    <row r="50" ht="12.75" customHeight="1">
      <c r="E50" s="2"/>
    </row>
    <row r="51" ht="12.75" customHeight="1">
      <c r="E51" s="2"/>
    </row>
    <row r="52" ht="12.75" customHeight="1">
      <c r="E52" s="2"/>
    </row>
    <row r="53" ht="12.75" customHeight="1">
      <c r="E53" s="2"/>
    </row>
    <row r="54" ht="12.75" customHeight="1">
      <c r="E54" s="2"/>
    </row>
    <row r="55" ht="12.75" customHeight="1">
      <c r="E55" s="2"/>
    </row>
    <row r="56" ht="12.75" customHeight="1">
      <c r="E56" s="2"/>
    </row>
    <row r="57" ht="12.75" customHeight="1">
      <c r="E57" s="2"/>
    </row>
    <row r="58" ht="12.75" customHeight="1">
      <c r="E58" s="2"/>
    </row>
    <row r="59" ht="12.75" customHeight="1">
      <c r="E59" s="2"/>
    </row>
    <row r="60" ht="12.75" customHeight="1">
      <c r="E60" s="2"/>
    </row>
    <row r="61" ht="12.75" customHeight="1">
      <c r="E61" s="2"/>
    </row>
    <row r="62" ht="12.75" customHeight="1">
      <c r="E62" s="2"/>
    </row>
    <row r="63" ht="12.75" customHeight="1">
      <c r="E63" s="2"/>
    </row>
    <row r="64" ht="12.75" customHeight="1">
      <c r="E64" s="2"/>
    </row>
    <row r="65" ht="12.75" customHeight="1">
      <c r="E65" s="2"/>
    </row>
    <row r="66" ht="12.75" customHeight="1">
      <c r="E66" s="2"/>
    </row>
    <row r="67" ht="12.75" customHeight="1">
      <c r="E67" s="2"/>
    </row>
    <row r="68" ht="12.75" customHeight="1">
      <c r="E68" s="2"/>
    </row>
    <row r="69" ht="12.75" customHeight="1">
      <c r="E69" s="2"/>
    </row>
    <row r="70" ht="12.75" customHeight="1">
      <c r="E70" s="2"/>
    </row>
    <row r="71" ht="12.75" customHeight="1">
      <c r="E71" s="2"/>
    </row>
    <row r="72" ht="12.75" customHeight="1">
      <c r="E72" s="2"/>
    </row>
    <row r="73" ht="12.75" customHeight="1">
      <c r="E73" s="2"/>
    </row>
    <row r="74" ht="12.75" customHeight="1">
      <c r="E74" s="2"/>
    </row>
    <row r="75" ht="12.75" customHeight="1">
      <c r="E75" s="2"/>
    </row>
    <row r="76" ht="12.75" customHeight="1">
      <c r="E76" s="2"/>
    </row>
    <row r="77" ht="12.75" customHeight="1">
      <c r="E77" s="2"/>
    </row>
    <row r="78" ht="12.75" customHeight="1">
      <c r="E78" s="2"/>
    </row>
    <row r="79" ht="12.75" customHeight="1">
      <c r="E79" s="2"/>
    </row>
    <row r="80" ht="12.75" customHeight="1">
      <c r="E80" s="2"/>
    </row>
    <row r="81" ht="12.75" customHeight="1">
      <c r="E81" s="2"/>
    </row>
    <row r="82" ht="12.75" customHeight="1">
      <c r="E82" s="2"/>
    </row>
    <row r="83" ht="12.75" customHeight="1">
      <c r="E83" s="2"/>
    </row>
    <row r="84" ht="12.75" customHeight="1">
      <c r="E84" s="2"/>
    </row>
    <row r="85" ht="12.75" customHeight="1">
      <c r="E85" s="2"/>
    </row>
    <row r="86" ht="12.75" customHeight="1">
      <c r="E86" s="2"/>
    </row>
    <row r="87" ht="12.75" customHeight="1">
      <c r="E87" s="2"/>
    </row>
    <row r="88" ht="12.75" customHeight="1">
      <c r="E88" s="2"/>
    </row>
    <row r="89" ht="12.75" customHeight="1">
      <c r="E89" s="2"/>
    </row>
    <row r="90" ht="12.75" customHeight="1">
      <c r="E90" s="2"/>
    </row>
    <row r="91" ht="12.75" customHeight="1">
      <c r="E91" s="2"/>
    </row>
    <row r="92" ht="12.75" customHeight="1">
      <c r="E92" s="2"/>
    </row>
    <row r="93" ht="12.75" customHeight="1">
      <c r="E93" s="2"/>
    </row>
    <row r="94" ht="12.75" customHeight="1">
      <c r="E94" s="2"/>
    </row>
    <row r="95" ht="12.75" customHeight="1">
      <c r="E95" s="2"/>
    </row>
    <row r="96" ht="12.75" customHeight="1">
      <c r="E96" s="2"/>
    </row>
    <row r="97" ht="12.75" customHeight="1">
      <c r="E97" s="2"/>
    </row>
    <row r="98" ht="12.75" customHeight="1">
      <c r="E98" s="2"/>
    </row>
    <row r="99" ht="12.75" customHeight="1">
      <c r="E99" s="2"/>
    </row>
    <row r="100" ht="12.75" customHeight="1">
      <c r="E100" s="2"/>
    </row>
    <row r="101" ht="12.75" customHeight="1">
      <c r="E101" s="2"/>
    </row>
    <row r="102" ht="12.75" customHeight="1">
      <c r="E102" s="2"/>
    </row>
    <row r="103" ht="12.75" customHeight="1">
      <c r="E103" s="2"/>
    </row>
    <row r="104" ht="12.75" customHeight="1">
      <c r="E104" s="2"/>
    </row>
    <row r="105" ht="12.75" customHeight="1">
      <c r="E105" s="2"/>
    </row>
    <row r="106" ht="12.75" customHeight="1">
      <c r="E106" s="2"/>
    </row>
    <row r="107" ht="12.75" customHeight="1">
      <c r="E107" s="2"/>
    </row>
    <row r="108" ht="12.75" customHeight="1">
      <c r="E108" s="2"/>
    </row>
    <row r="109" ht="12.75" customHeight="1">
      <c r="E109" s="2"/>
    </row>
    <row r="110" ht="12.75" customHeight="1">
      <c r="E110" s="2"/>
    </row>
    <row r="111" ht="12.75" customHeight="1">
      <c r="E111" s="2"/>
    </row>
    <row r="112" ht="12.75" customHeight="1">
      <c r="E112" s="2"/>
    </row>
    <row r="113" ht="12.75" customHeight="1">
      <c r="E113" s="2"/>
    </row>
    <row r="114" ht="12.75" customHeight="1">
      <c r="E114" s="2"/>
    </row>
    <row r="115" ht="12.75" customHeight="1">
      <c r="E115" s="2"/>
    </row>
    <row r="116" ht="12.75" customHeight="1">
      <c r="E116" s="2"/>
    </row>
    <row r="117" ht="12.75" customHeight="1">
      <c r="E117" s="2"/>
    </row>
    <row r="118" ht="12.75" customHeight="1">
      <c r="E118" s="2"/>
    </row>
    <row r="119" ht="12.75" customHeight="1">
      <c r="E119" s="2"/>
    </row>
    <row r="120" ht="12.75" customHeight="1">
      <c r="E120" s="2"/>
    </row>
    <row r="121" ht="12.75" customHeight="1">
      <c r="E121" s="2"/>
    </row>
    <row r="122" ht="12.75" customHeight="1">
      <c r="E122" s="2"/>
    </row>
    <row r="123" ht="12.75" customHeight="1">
      <c r="E123" s="2"/>
    </row>
    <row r="124" ht="12.75" customHeight="1">
      <c r="E124" s="2"/>
    </row>
    <row r="125" ht="12.75" customHeight="1">
      <c r="E125" s="2"/>
    </row>
    <row r="126" ht="12.75" customHeight="1">
      <c r="E126" s="2"/>
    </row>
    <row r="127" ht="12.75" customHeight="1">
      <c r="E127" s="2"/>
    </row>
    <row r="128" ht="12.75" customHeight="1">
      <c r="E128" s="2"/>
    </row>
    <row r="129" ht="12.75" customHeight="1">
      <c r="E129" s="2"/>
    </row>
    <row r="130" ht="12.75" customHeight="1">
      <c r="E130" s="2"/>
    </row>
    <row r="131" ht="12.75" customHeight="1">
      <c r="E131" s="2"/>
    </row>
    <row r="132" ht="12.75" customHeight="1">
      <c r="E132" s="2"/>
    </row>
    <row r="133" ht="12.75" customHeight="1">
      <c r="E133" s="2"/>
    </row>
    <row r="134" ht="12.75" customHeight="1">
      <c r="E134" s="2"/>
    </row>
    <row r="135" ht="12.75" customHeight="1">
      <c r="E135" s="2"/>
    </row>
    <row r="136" ht="12.75" customHeight="1">
      <c r="E136" s="2"/>
    </row>
    <row r="137" ht="12.75" customHeight="1">
      <c r="E137" s="2"/>
    </row>
    <row r="138" ht="12.75" customHeight="1">
      <c r="E138" s="2"/>
    </row>
    <row r="139" ht="12.75" customHeight="1">
      <c r="E139" s="2"/>
    </row>
    <row r="140" ht="12.75" customHeight="1">
      <c r="E140" s="2"/>
    </row>
    <row r="141" ht="12.75" customHeight="1">
      <c r="E141" s="2"/>
    </row>
    <row r="142" ht="12.75" customHeight="1">
      <c r="E142" s="2"/>
    </row>
    <row r="143" ht="12.75" customHeight="1">
      <c r="E143" s="2"/>
    </row>
    <row r="144" ht="12.75" customHeight="1">
      <c r="E144" s="2"/>
    </row>
    <row r="145" ht="12.75" customHeight="1">
      <c r="E145" s="2"/>
    </row>
    <row r="146" ht="12.75" customHeight="1">
      <c r="E146" s="2"/>
    </row>
    <row r="147" ht="12.75" customHeight="1">
      <c r="E147" s="2"/>
    </row>
    <row r="148" ht="12.75" customHeight="1">
      <c r="E148" s="2"/>
    </row>
    <row r="149" ht="12.75" customHeight="1">
      <c r="E149" s="2"/>
    </row>
    <row r="150" ht="12.75" customHeight="1">
      <c r="E150" s="2"/>
    </row>
    <row r="151" ht="12.75" customHeight="1">
      <c r="E151" s="2"/>
    </row>
    <row r="152" ht="12.75" customHeight="1">
      <c r="E152" s="2"/>
    </row>
    <row r="153" ht="12.75" customHeight="1">
      <c r="E153" s="2"/>
    </row>
    <row r="154" ht="12.75" customHeight="1">
      <c r="E154" s="2"/>
    </row>
    <row r="155" ht="12.75" customHeight="1">
      <c r="E155" s="2"/>
    </row>
    <row r="156" ht="12.75" customHeight="1">
      <c r="E156" s="2"/>
    </row>
    <row r="157" ht="12.75" customHeight="1">
      <c r="E157" s="2"/>
    </row>
    <row r="158" ht="12.75" customHeight="1">
      <c r="E158" s="2"/>
    </row>
    <row r="159" ht="12.75" customHeight="1">
      <c r="E159" s="2"/>
    </row>
    <row r="160" ht="12.75" customHeight="1">
      <c r="E160" s="2"/>
    </row>
    <row r="161" ht="12.75" customHeight="1">
      <c r="E161" s="2"/>
    </row>
    <row r="162" ht="12.75" customHeight="1">
      <c r="E162" s="2"/>
    </row>
    <row r="163" ht="12.75" customHeight="1">
      <c r="E163" s="2"/>
    </row>
    <row r="164" ht="12.75" customHeight="1">
      <c r="E164" s="2"/>
    </row>
    <row r="165" ht="12.75" customHeight="1">
      <c r="E165" s="2"/>
    </row>
    <row r="166" ht="12.75" customHeight="1">
      <c r="E166" s="2"/>
    </row>
    <row r="167" ht="12.75" customHeight="1">
      <c r="E167" s="2"/>
    </row>
    <row r="168" ht="12.75" customHeight="1">
      <c r="E168" s="2"/>
    </row>
    <row r="169" ht="12.75" customHeight="1">
      <c r="E169" s="2"/>
    </row>
    <row r="170" ht="12.75" customHeight="1">
      <c r="E170" s="2"/>
    </row>
    <row r="171" ht="12.75" customHeight="1">
      <c r="E171" s="2"/>
    </row>
    <row r="172" ht="12.75" customHeight="1">
      <c r="E172" s="2"/>
    </row>
    <row r="173" ht="12.75" customHeight="1">
      <c r="E173" s="2"/>
    </row>
    <row r="174" ht="12.75" customHeight="1">
      <c r="E174" s="2"/>
    </row>
    <row r="175" ht="12.75" customHeight="1">
      <c r="E175" s="2"/>
    </row>
    <row r="176" ht="12.75" customHeight="1">
      <c r="E176" s="2"/>
    </row>
    <row r="177" ht="12.75" customHeight="1">
      <c r="E177" s="2"/>
    </row>
    <row r="178" ht="12.75" customHeight="1">
      <c r="E178" s="2"/>
    </row>
    <row r="179" ht="12.75" customHeight="1">
      <c r="E179" s="2"/>
    </row>
    <row r="180" ht="12.75" customHeight="1">
      <c r="E180" s="2"/>
    </row>
    <row r="181" ht="12.75" customHeight="1">
      <c r="E181" s="2"/>
    </row>
    <row r="182" ht="12.75" customHeight="1">
      <c r="E182" s="2"/>
    </row>
    <row r="183" ht="12.75" customHeight="1">
      <c r="E183" s="2"/>
    </row>
    <row r="184" ht="12.75" customHeight="1">
      <c r="E184" s="2"/>
    </row>
    <row r="185" ht="12.75" customHeight="1">
      <c r="E185" s="2"/>
    </row>
    <row r="186" ht="12.75" customHeight="1">
      <c r="E186" s="2"/>
    </row>
    <row r="187" ht="12.75" customHeight="1">
      <c r="E187" s="2"/>
    </row>
    <row r="188" ht="12.75" customHeight="1">
      <c r="E188" s="2"/>
    </row>
    <row r="189" ht="12.75" customHeight="1">
      <c r="E189" s="2"/>
    </row>
    <row r="190" ht="12.75" customHeight="1">
      <c r="E190" s="2"/>
    </row>
    <row r="191" ht="12.75" customHeight="1">
      <c r="E191" s="2"/>
    </row>
    <row r="192" ht="12.75" customHeight="1">
      <c r="E192" s="2"/>
    </row>
    <row r="193" ht="12.75" customHeight="1">
      <c r="E193" s="2"/>
    </row>
    <row r="194" ht="12.75" customHeight="1">
      <c r="E194" s="2"/>
    </row>
    <row r="195" ht="12.75" customHeight="1">
      <c r="E195" s="2"/>
    </row>
    <row r="196" ht="12.75" customHeight="1">
      <c r="E196" s="2"/>
    </row>
    <row r="197" ht="12.75" customHeight="1">
      <c r="E197" s="2"/>
    </row>
    <row r="198" ht="12.75" customHeight="1">
      <c r="E198" s="2"/>
    </row>
    <row r="199" ht="12.75" customHeight="1">
      <c r="E199" s="2"/>
    </row>
    <row r="200" ht="12.75" customHeight="1">
      <c r="E200" s="2"/>
    </row>
    <row r="201" ht="12.75" customHeight="1">
      <c r="E201" s="2"/>
    </row>
    <row r="202" ht="12.75" customHeight="1">
      <c r="E202" s="2"/>
    </row>
    <row r="203" ht="12.75" customHeight="1">
      <c r="E203" s="2"/>
    </row>
    <row r="204" ht="12.75" customHeight="1">
      <c r="E204" s="2"/>
    </row>
    <row r="205" ht="12.75" customHeight="1">
      <c r="E205" s="2"/>
    </row>
    <row r="206" ht="12.75" customHeight="1">
      <c r="E206" s="2"/>
    </row>
    <row r="207" ht="12.75" customHeight="1">
      <c r="E207" s="2"/>
    </row>
    <row r="208" ht="12.75" customHeight="1">
      <c r="E208" s="2"/>
    </row>
    <row r="209" ht="12.75" customHeight="1">
      <c r="E209" s="2"/>
    </row>
    <row r="210" ht="12.75" customHeight="1">
      <c r="E210" s="2"/>
    </row>
    <row r="211" ht="12.75" customHeight="1">
      <c r="E211" s="2"/>
    </row>
    <row r="212" ht="12.75" customHeight="1">
      <c r="E212" s="2"/>
    </row>
    <row r="213" ht="12.75" customHeight="1">
      <c r="E213" s="2"/>
    </row>
    <row r="214" ht="12.75" customHeight="1">
      <c r="E214" s="2"/>
    </row>
    <row r="215" ht="12.75" customHeight="1">
      <c r="E215" s="2"/>
    </row>
    <row r="216" ht="12.75" customHeight="1">
      <c r="E216" s="2"/>
    </row>
    <row r="217" ht="12.75" customHeight="1">
      <c r="E217" s="2"/>
    </row>
    <row r="218" ht="12.75" customHeight="1">
      <c r="E218" s="2"/>
    </row>
    <row r="219" ht="12.75" customHeight="1">
      <c r="E219" s="2"/>
    </row>
    <row r="220" ht="12.75" customHeight="1">
      <c r="E220" s="2"/>
    </row>
    <row r="221" ht="12.75" customHeight="1">
      <c r="E221" s="2"/>
    </row>
    <row r="222" ht="12.75" customHeight="1">
      <c r="E222" s="2"/>
    </row>
    <row r="223" ht="12.75" customHeight="1">
      <c r="E223" s="2"/>
    </row>
    <row r="224" ht="12.75" customHeight="1">
      <c r="E224" s="2"/>
    </row>
    <row r="225" ht="12.75" customHeight="1">
      <c r="E225" s="2"/>
    </row>
    <row r="226" ht="12.75" customHeight="1">
      <c r="E226" s="2"/>
    </row>
    <row r="227" ht="12.75" customHeight="1">
      <c r="E227" s="2"/>
    </row>
    <row r="228" ht="12.75" customHeight="1">
      <c r="E228" s="2"/>
    </row>
    <row r="229" ht="12.75" customHeight="1">
      <c r="E229" s="2"/>
    </row>
    <row r="230" ht="12.75" customHeight="1">
      <c r="E230" s="2"/>
    </row>
    <row r="231" ht="12.75" customHeight="1">
      <c r="E231" s="2"/>
    </row>
    <row r="232" ht="12.75" customHeight="1">
      <c r="E232" s="2"/>
    </row>
    <row r="233" ht="12.75" customHeight="1">
      <c r="E233" s="2"/>
    </row>
    <row r="234" ht="12.75" customHeight="1">
      <c r="E234" s="2"/>
    </row>
    <row r="235" ht="12.75" customHeight="1">
      <c r="E235" s="2"/>
    </row>
    <row r="236" ht="12.75" customHeight="1">
      <c r="E236" s="2"/>
    </row>
    <row r="237" ht="12.75" customHeight="1">
      <c r="E237" s="2"/>
    </row>
    <row r="238" ht="12.75" customHeight="1">
      <c r="E238" s="2"/>
    </row>
    <row r="239" ht="12.75" customHeight="1">
      <c r="E239" s="2"/>
    </row>
    <row r="240" ht="12.75" customHeight="1">
      <c r="E240" s="2"/>
    </row>
    <row r="241" ht="12.75" customHeight="1">
      <c r="E241" s="2"/>
    </row>
    <row r="242" ht="12.75" customHeight="1">
      <c r="E242" s="2"/>
    </row>
    <row r="243" ht="12.75" customHeight="1">
      <c r="E243" s="2"/>
    </row>
    <row r="244" ht="12.75" customHeight="1">
      <c r="E244" s="2"/>
    </row>
    <row r="245" ht="12.75" customHeight="1">
      <c r="E245" s="2"/>
    </row>
    <row r="246" ht="12.75" customHeight="1">
      <c r="E246" s="2"/>
    </row>
    <row r="247" ht="12.75" customHeight="1">
      <c r="E247" s="2"/>
    </row>
    <row r="248" ht="12.75" customHeight="1">
      <c r="E248" s="2"/>
    </row>
    <row r="249" ht="12.75" customHeight="1">
      <c r="E249" s="2"/>
    </row>
    <row r="250" ht="12.75" customHeight="1">
      <c r="E250" s="2"/>
    </row>
    <row r="251" ht="12.75" customHeight="1">
      <c r="E251" s="2"/>
    </row>
    <row r="252" ht="12.75" customHeight="1">
      <c r="E252" s="2"/>
    </row>
    <row r="253" ht="12.75" customHeight="1">
      <c r="E253" s="2"/>
    </row>
    <row r="254" ht="12.75" customHeight="1">
      <c r="E254" s="2"/>
    </row>
    <row r="255" ht="12.75" customHeight="1">
      <c r="E255" s="2"/>
    </row>
    <row r="256" ht="12.75" customHeight="1">
      <c r="E256" s="2"/>
    </row>
    <row r="257" ht="12.75" customHeight="1">
      <c r="E257" s="2"/>
    </row>
    <row r="258" ht="12.75" customHeight="1">
      <c r="E258" s="2"/>
    </row>
    <row r="259" ht="12.75" customHeight="1">
      <c r="E259" s="2"/>
    </row>
    <row r="260" ht="12.75" customHeight="1">
      <c r="E260" s="2"/>
    </row>
    <row r="261" ht="12.75" customHeight="1">
      <c r="E261" s="2"/>
    </row>
    <row r="262" ht="12.75" customHeight="1">
      <c r="E262" s="2"/>
    </row>
    <row r="263" ht="12.75" customHeight="1">
      <c r="E263" s="2"/>
    </row>
    <row r="264" ht="12.75" customHeight="1">
      <c r="E264" s="2"/>
    </row>
    <row r="265" ht="12.75" customHeight="1">
      <c r="E265" s="2"/>
    </row>
    <row r="266" ht="12.75" customHeight="1">
      <c r="E266" s="2"/>
    </row>
    <row r="267" ht="12.75" customHeight="1">
      <c r="E267" s="2"/>
    </row>
    <row r="268" ht="12.75" customHeight="1">
      <c r="E268" s="2"/>
    </row>
    <row r="269" ht="12.75" customHeight="1">
      <c r="E269" s="2"/>
    </row>
    <row r="270" ht="12.75" customHeight="1">
      <c r="E270" s="2"/>
    </row>
    <row r="271" ht="12.75" customHeight="1">
      <c r="E271" s="2"/>
    </row>
    <row r="272" ht="12.75" customHeight="1">
      <c r="E272" s="2"/>
    </row>
    <row r="273" ht="12.75" customHeight="1">
      <c r="E273" s="2"/>
    </row>
    <row r="274" ht="12.75" customHeight="1">
      <c r="E274" s="2"/>
    </row>
    <row r="275" ht="12.75" customHeight="1">
      <c r="E275" s="2"/>
    </row>
    <row r="276" ht="12.75" customHeight="1">
      <c r="E276" s="2"/>
    </row>
    <row r="277" ht="12.75" customHeight="1">
      <c r="E277" s="2"/>
    </row>
    <row r="278" ht="12.75" customHeight="1">
      <c r="E278" s="2"/>
    </row>
    <row r="279" ht="12.75" customHeight="1">
      <c r="E279" s="2"/>
    </row>
    <row r="280" ht="12.75" customHeight="1">
      <c r="E280" s="2"/>
    </row>
    <row r="281" ht="12.75" customHeight="1">
      <c r="E281" s="2"/>
    </row>
    <row r="282" ht="12.75" customHeight="1">
      <c r="E282" s="2"/>
    </row>
    <row r="283" ht="12.75" customHeight="1">
      <c r="E283" s="2"/>
    </row>
    <row r="284" ht="12.75" customHeight="1">
      <c r="E284" s="2"/>
    </row>
    <row r="285" ht="12.75" customHeight="1">
      <c r="E285" s="2"/>
    </row>
    <row r="286" ht="12.75" customHeight="1">
      <c r="E286" s="2"/>
    </row>
    <row r="287" ht="12.75" customHeight="1">
      <c r="E287" s="2"/>
    </row>
    <row r="288" ht="12.75" customHeight="1">
      <c r="E288" s="2"/>
    </row>
    <row r="289" ht="12.75" customHeight="1">
      <c r="E289" s="2"/>
    </row>
    <row r="290" ht="12.75" customHeight="1">
      <c r="E290" s="2"/>
    </row>
    <row r="291" ht="12.75" customHeight="1">
      <c r="E291" s="2"/>
    </row>
    <row r="292" ht="12.75" customHeight="1">
      <c r="E292" s="2"/>
    </row>
    <row r="293" ht="12.75" customHeight="1">
      <c r="E293" s="2"/>
    </row>
    <row r="294" ht="12.75" customHeight="1">
      <c r="E294" s="2"/>
    </row>
    <row r="295" ht="12.75" customHeight="1">
      <c r="E295" s="2"/>
    </row>
    <row r="296" ht="12.75" customHeight="1">
      <c r="E296" s="2"/>
    </row>
    <row r="297" ht="12.75" customHeight="1">
      <c r="E297" s="2"/>
    </row>
    <row r="298" ht="12.75" customHeight="1">
      <c r="E298" s="2"/>
    </row>
    <row r="299" ht="12.75" customHeight="1">
      <c r="E299" s="2"/>
    </row>
    <row r="300" ht="12.75" customHeight="1">
      <c r="E300" s="2"/>
    </row>
    <row r="301" ht="12.75" customHeight="1">
      <c r="E301" s="2"/>
    </row>
    <row r="302" ht="12.75" customHeight="1">
      <c r="E302" s="2"/>
    </row>
    <row r="303" ht="12.75" customHeight="1">
      <c r="E303" s="2"/>
    </row>
    <row r="304" ht="12.75" customHeight="1">
      <c r="E304" s="2"/>
    </row>
    <row r="305" ht="12.75" customHeight="1">
      <c r="E305" s="2"/>
    </row>
    <row r="306" ht="12.75" customHeight="1">
      <c r="E306" s="2"/>
    </row>
    <row r="307" ht="12.75" customHeight="1">
      <c r="E307" s="2"/>
    </row>
    <row r="308" ht="12.75" customHeight="1">
      <c r="E308" s="2"/>
    </row>
    <row r="309" ht="12.75" customHeight="1">
      <c r="E309" s="2"/>
    </row>
    <row r="310" ht="12.75" customHeight="1">
      <c r="E310" s="2"/>
    </row>
    <row r="311" ht="12.75" customHeight="1">
      <c r="E311" s="2"/>
    </row>
    <row r="312" ht="12.75" customHeight="1">
      <c r="E312" s="2"/>
    </row>
    <row r="313" ht="12.75" customHeight="1">
      <c r="E313" s="2"/>
    </row>
    <row r="314" ht="12.75" customHeight="1">
      <c r="E314" s="2"/>
    </row>
    <row r="315" ht="12.75" customHeight="1">
      <c r="E315" s="2"/>
    </row>
    <row r="316" ht="12.75" customHeight="1">
      <c r="E316" s="2"/>
    </row>
    <row r="317" ht="12.75" customHeight="1">
      <c r="E317" s="2"/>
    </row>
    <row r="318" ht="12.75" customHeight="1">
      <c r="E318" s="2"/>
    </row>
    <row r="319" ht="12.75" customHeight="1">
      <c r="E319" s="2"/>
    </row>
    <row r="320" ht="12.75" customHeight="1">
      <c r="E320" s="2"/>
    </row>
    <row r="321" ht="12.75" customHeight="1">
      <c r="E321" s="2"/>
    </row>
    <row r="322" ht="12.75" customHeight="1">
      <c r="E322" s="2"/>
    </row>
    <row r="323" ht="12.75" customHeight="1">
      <c r="E323" s="2"/>
    </row>
    <row r="324" ht="12.75" customHeight="1">
      <c r="E324" s="2"/>
    </row>
    <row r="325" ht="12.75" customHeight="1">
      <c r="E325" s="2"/>
    </row>
    <row r="326" ht="12.75" customHeight="1">
      <c r="E326" s="2"/>
    </row>
    <row r="327" ht="12.75" customHeight="1">
      <c r="E327" s="2"/>
    </row>
    <row r="328" ht="12.75" customHeight="1">
      <c r="E328" s="2"/>
    </row>
    <row r="329" ht="12.75" customHeight="1">
      <c r="E329" s="2"/>
    </row>
    <row r="330" ht="12.75" customHeight="1">
      <c r="E330" s="2"/>
    </row>
    <row r="331" ht="12.75" customHeight="1">
      <c r="E331" s="2"/>
    </row>
    <row r="332" ht="12.75" customHeight="1">
      <c r="E332" s="2"/>
    </row>
    <row r="333" ht="12.75" customHeight="1">
      <c r="E333" s="2"/>
    </row>
    <row r="334" ht="12.75" customHeight="1">
      <c r="E334" s="2"/>
    </row>
    <row r="335" ht="12.75" customHeight="1">
      <c r="E335" s="2"/>
    </row>
    <row r="336" ht="12.75" customHeight="1">
      <c r="E336" s="2"/>
    </row>
    <row r="337" ht="12.75" customHeight="1">
      <c r="E337" s="2"/>
    </row>
    <row r="338" ht="12.75" customHeight="1">
      <c r="E338" s="2"/>
    </row>
    <row r="339" ht="12.75" customHeight="1">
      <c r="E339" s="2"/>
    </row>
    <row r="340" ht="12.75" customHeight="1">
      <c r="E340" s="2"/>
    </row>
    <row r="341" ht="12.75" customHeight="1">
      <c r="E341" s="2"/>
    </row>
    <row r="342" ht="12.75" customHeight="1">
      <c r="E342" s="2"/>
    </row>
    <row r="343" ht="12.75" customHeight="1">
      <c r="E343" s="2"/>
    </row>
    <row r="344" ht="12.75" customHeight="1">
      <c r="E344" s="2"/>
    </row>
    <row r="345" ht="12.75" customHeight="1">
      <c r="E345" s="2"/>
    </row>
    <row r="346" ht="12.75" customHeight="1">
      <c r="E346" s="2"/>
    </row>
    <row r="347" ht="12.75" customHeight="1">
      <c r="E347" s="2"/>
    </row>
    <row r="348" ht="12.75" customHeight="1">
      <c r="E348" s="2"/>
    </row>
    <row r="349" ht="12.75" customHeight="1">
      <c r="E349" s="2"/>
    </row>
    <row r="350" ht="12.75" customHeight="1">
      <c r="E350" s="2"/>
    </row>
    <row r="351" ht="12.75" customHeight="1">
      <c r="E351" s="2"/>
    </row>
    <row r="352" ht="12.75" customHeight="1">
      <c r="E352" s="2"/>
    </row>
    <row r="353" ht="12.75" customHeight="1">
      <c r="E353" s="2"/>
    </row>
    <row r="354" ht="12.75" customHeight="1">
      <c r="E354" s="2"/>
    </row>
    <row r="355" ht="12.75" customHeight="1">
      <c r="E355" s="2"/>
    </row>
    <row r="356" ht="12.75" customHeight="1">
      <c r="E356" s="2"/>
    </row>
    <row r="357" ht="12.75" customHeight="1">
      <c r="E357" s="2"/>
    </row>
    <row r="358" ht="12.75" customHeight="1">
      <c r="E358" s="2"/>
    </row>
    <row r="359" ht="12.75" customHeight="1">
      <c r="E359" s="2"/>
    </row>
    <row r="360" ht="12.75" customHeight="1">
      <c r="E360" s="2"/>
    </row>
    <row r="361" ht="12.75" customHeight="1">
      <c r="E361" s="2"/>
    </row>
    <row r="362" ht="12.75" customHeight="1">
      <c r="E362" s="2"/>
    </row>
    <row r="363" ht="12.75" customHeight="1">
      <c r="E363" s="2"/>
    </row>
    <row r="364" ht="12.75" customHeight="1">
      <c r="E364" s="2"/>
    </row>
    <row r="365" ht="12.75" customHeight="1">
      <c r="E365" s="2"/>
    </row>
    <row r="366" ht="12.75" customHeight="1">
      <c r="E366" s="2"/>
    </row>
    <row r="367" ht="12.75" customHeight="1">
      <c r="E367" s="2"/>
    </row>
    <row r="368" ht="12.75" customHeight="1">
      <c r="E368" s="2"/>
    </row>
    <row r="369" ht="12.75" customHeight="1">
      <c r="E369" s="2"/>
    </row>
    <row r="370" ht="12.75" customHeight="1">
      <c r="E370" s="2"/>
    </row>
    <row r="371" ht="12.75" customHeight="1">
      <c r="E371" s="2"/>
    </row>
    <row r="372" ht="12.75" customHeight="1">
      <c r="E372" s="2"/>
    </row>
    <row r="373" ht="12.75" customHeight="1">
      <c r="E373" s="2"/>
    </row>
    <row r="374" ht="12.75" customHeight="1">
      <c r="E374" s="2"/>
    </row>
    <row r="375" ht="12.75" customHeight="1">
      <c r="E375" s="2"/>
    </row>
    <row r="376" ht="12.75" customHeight="1">
      <c r="E376" s="2"/>
    </row>
    <row r="377" ht="12.75" customHeight="1">
      <c r="E377" s="2"/>
    </row>
    <row r="378" ht="12.75" customHeight="1">
      <c r="E378" s="2"/>
    </row>
    <row r="379" ht="12.75" customHeight="1">
      <c r="E379" s="2"/>
    </row>
    <row r="380" ht="12.75" customHeight="1">
      <c r="E380" s="2"/>
    </row>
    <row r="381" ht="12.75" customHeight="1">
      <c r="E381" s="2"/>
    </row>
    <row r="382" ht="12.75" customHeight="1">
      <c r="E382" s="2"/>
    </row>
    <row r="383" ht="12.75" customHeight="1">
      <c r="E383" s="2"/>
    </row>
    <row r="384" ht="12.75" customHeight="1">
      <c r="E384" s="2"/>
    </row>
    <row r="385" ht="12.75" customHeight="1">
      <c r="E385" s="2"/>
    </row>
    <row r="386" ht="12.75" customHeight="1">
      <c r="E386" s="2"/>
    </row>
    <row r="387" ht="12.75" customHeight="1">
      <c r="E387" s="2"/>
    </row>
    <row r="388" ht="12.75" customHeight="1">
      <c r="E388" s="2"/>
    </row>
    <row r="389" ht="12.75" customHeight="1">
      <c r="E389" s="2"/>
    </row>
    <row r="390" ht="12.75" customHeight="1">
      <c r="E390" s="2"/>
    </row>
    <row r="391" ht="12.75" customHeight="1">
      <c r="E391" s="2"/>
    </row>
    <row r="392" ht="12.75" customHeight="1">
      <c r="E392" s="2"/>
    </row>
    <row r="393" ht="12.75" customHeight="1">
      <c r="E393" s="2"/>
    </row>
    <row r="394" ht="12.75" customHeight="1">
      <c r="E394" s="2"/>
    </row>
    <row r="395" ht="12.75" customHeight="1">
      <c r="E395" s="2"/>
    </row>
    <row r="396" ht="12.75" customHeight="1">
      <c r="E396" s="2"/>
    </row>
    <row r="397" ht="12.75" customHeight="1">
      <c r="E397" s="2"/>
    </row>
    <row r="398" ht="12.75" customHeight="1">
      <c r="E398" s="2"/>
    </row>
    <row r="399" ht="12.75" customHeight="1">
      <c r="E399" s="2"/>
    </row>
    <row r="400" ht="12.75" customHeight="1">
      <c r="E400" s="2"/>
    </row>
    <row r="401" ht="12.75" customHeight="1">
      <c r="E401" s="2"/>
    </row>
    <row r="402" ht="12.75" customHeight="1">
      <c r="E402" s="2"/>
    </row>
    <row r="403" ht="12.75" customHeight="1">
      <c r="E403" s="2"/>
    </row>
    <row r="404" ht="12.75" customHeight="1">
      <c r="E404" s="2"/>
    </row>
    <row r="405" ht="12.75" customHeight="1">
      <c r="E405" s="2"/>
    </row>
    <row r="406" ht="12.75" customHeight="1">
      <c r="E406" s="2"/>
    </row>
    <row r="407" ht="12.75" customHeight="1">
      <c r="E407" s="2"/>
    </row>
    <row r="408" ht="12.75" customHeight="1">
      <c r="E408" s="2"/>
    </row>
    <row r="409" ht="12.75" customHeight="1">
      <c r="E409" s="2"/>
    </row>
    <row r="410" ht="12.75" customHeight="1">
      <c r="E410" s="2"/>
    </row>
    <row r="411" ht="12.75" customHeight="1">
      <c r="E411" s="2"/>
    </row>
    <row r="412" ht="12.75" customHeight="1">
      <c r="E412" s="2"/>
    </row>
    <row r="413" ht="12.75" customHeight="1">
      <c r="E413" s="2"/>
    </row>
    <row r="414" ht="12.75" customHeight="1">
      <c r="E414" s="2"/>
    </row>
    <row r="415" ht="12.75" customHeight="1">
      <c r="E415" s="2"/>
    </row>
    <row r="416" ht="12.75" customHeight="1">
      <c r="E416" s="2"/>
    </row>
    <row r="417" ht="12.75" customHeight="1">
      <c r="E417" s="2"/>
    </row>
    <row r="418" ht="12.75" customHeight="1">
      <c r="E418" s="2"/>
    </row>
    <row r="419" ht="12.75" customHeight="1">
      <c r="E419" s="2"/>
    </row>
    <row r="420" ht="12.75" customHeight="1">
      <c r="E420" s="2"/>
    </row>
    <row r="421" ht="12.75" customHeight="1">
      <c r="E421" s="2"/>
    </row>
    <row r="422" ht="12.75" customHeight="1">
      <c r="E422" s="2"/>
    </row>
    <row r="423" ht="12.75" customHeight="1">
      <c r="E423" s="2"/>
    </row>
    <row r="424" ht="12.75" customHeight="1">
      <c r="E424" s="2"/>
    </row>
    <row r="425" ht="12.75" customHeight="1">
      <c r="E425" s="2"/>
    </row>
    <row r="426" ht="12.75" customHeight="1">
      <c r="E426" s="2"/>
    </row>
    <row r="427" ht="12.75" customHeight="1">
      <c r="E427" s="2"/>
    </row>
    <row r="428" ht="12.75" customHeight="1">
      <c r="E428" s="2"/>
    </row>
    <row r="429" ht="12.75" customHeight="1">
      <c r="E429" s="2"/>
    </row>
    <row r="430" ht="12.75" customHeight="1">
      <c r="E430" s="2"/>
    </row>
    <row r="431" ht="12.75" customHeight="1">
      <c r="E431" s="2"/>
    </row>
    <row r="432" ht="12.75" customHeight="1">
      <c r="E432" s="2"/>
    </row>
    <row r="433" ht="12.75" customHeight="1">
      <c r="E433" s="2"/>
    </row>
    <row r="434" ht="12.75" customHeight="1">
      <c r="E434" s="2"/>
    </row>
    <row r="435" ht="12.75" customHeight="1">
      <c r="E435" s="2"/>
    </row>
    <row r="436" ht="12.75" customHeight="1">
      <c r="E436" s="2"/>
    </row>
    <row r="437" ht="12.75" customHeight="1">
      <c r="E437" s="2"/>
    </row>
    <row r="438" ht="12.75" customHeight="1">
      <c r="E438" s="2"/>
    </row>
    <row r="439" ht="12.75" customHeight="1">
      <c r="E439" s="2"/>
    </row>
    <row r="440" ht="12.75" customHeight="1">
      <c r="E440" s="2"/>
    </row>
    <row r="441" ht="12.75" customHeight="1">
      <c r="E441" s="2"/>
    </row>
    <row r="442" ht="12.75" customHeight="1">
      <c r="E442" s="2"/>
    </row>
    <row r="443" ht="12.75" customHeight="1">
      <c r="E443" s="2"/>
    </row>
    <row r="444" ht="12.75" customHeight="1">
      <c r="E444" s="2"/>
    </row>
    <row r="445" ht="12.75" customHeight="1">
      <c r="E445" s="2"/>
    </row>
    <row r="446" ht="12.75" customHeight="1">
      <c r="E446" s="2"/>
    </row>
    <row r="447" ht="12.75" customHeight="1">
      <c r="E447" s="2"/>
    </row>
    <row r="448" ht="12.75" customHeight="1">
      <c r="E448" s="2"/>
    </row>
    <row r="449" ht="12.75" customHeight="1">
      <c r="E449" s="2"/>
    </row>
    <row r="450" ht="12.75" customHeight="1">
      <c r="E450" s="2"/>
    </row>
    <row r="451" ht="12.75" customHeight="1">
      <c r="E451" s="2"/>
    </row>
    <row r="452" ht="12.75" customHeight="1">
      <c r="E452" s="2"/>
    </row>
    <row r="453" ht="12.75" customHeight="1">
      <c r="E453" s="2"/>
    </row>
    <row r="454" ht="12.75" customHeight="1">
      <c r="E454" s="2"/>
    </row>
    <row r="455" ht="12.75" customHeight="1">
      <c r="E455" s="2"/>
    </row>
    <row r="456" ht="12.75" customHeight="1">
      <c r="E456" s="2"/>
    </row>
    <row r="457" ht="12.75" customHeight="1">
      <c r="E457" s="2"/>
    </row>
    <row r="458" ht="12.75" customHeight="1">
      <c r="E458" s="2"/>
    </row>
    <row r="459" ht="12.75" customHeight="1">
      <c r="E459" s="2"/>
    </row>
    <row r="460" ht="12.75" customHeight="1">
      <c r="E460" s="2"/>
    </row>
    <row r="461" ht="12.75" customHeight="1">
      <c r="E461" s="2"/>
    </row>
    <row r="462" ht="12.75" customHeight="1">
      <c r="E462" s="2"/>
    </row>
    <row r="463" ht="12.75" customHeight="1">
      <c r="E463" s="2"/>
    </row>
    <row r="464" ht="12.75" customHeight="1">
      <c r="E464" s="2"/>
    </row>
    <row r="465" ht="12.75" customHeight="1">
      <c r="E465" s="2"/>
    </row>
    <row r="466" ht="12.75" customHeight="1">
      <c r="E466" s="2"/>
    </row>
    <row r="467" ht="12.75" customHeight="1">
      <c r="E467" s="2"/>
    </row>
    <row r="468" ht="12.75" customHeight="1">
      <c r="E468" s="2"/>
    </row>
    <row r="469" ht="12.75" customHeight="1">
      <c r="E469" s="2"/>
    </row>
    <row r="470" ht="12.75" customHeight="1">
      <c r="E470" s="2"/>
    </row>
    <row r="471" ht="12.75" customHeight="1">
      <c r="E471" s="2"/>
    </row>
    <row r="472" ht="12.75" customHeight="1">
      <c r="E472" s="2"/>
    </row>
    <row r="473" ht="12.75" customHeight="1">
      <c r="E473" s="2"/>
    </row>
    <row r="474" ht="12.75" customHeight="1">
      <c r="E474" s="2"/>
    </row>
    <row r="475" ht="12.75" customHeight="1">
      <c r="E475" s="2"/>
    </row>
    <row r="476" ht="12.75" customHeight="1">
      <c r="E476" s="2"/>
    </row>
    <row r="477" ht="12.75" customHeight="1">
      <c r="E477" s="2"/>
    </row>
    <row r="478" ht="12.75" customHeight="1">
      <c r="E478" s="2"/>
    </row>
    <row r="479" ht="12.75" customHeight="1">
      <c r="E479" s="2"/>
    </row>
    <row r="480" ht="12.75" customHeight="1">
      <c r="E480" s="2"/>
    </row>
    <row r="481" ht="12.75" customHeight="1">
      <c r="E481" s="2"/>
    </row>
    <row r="482" ht="12.75" customHeight="1">
      <c r="E482" s="2"/>
    </row>
    <row r="483" ht="12.75" customHeight="1">
      <c r="E483" s="2"/>
    </row>
    <row r="484" ht="12.75" customHeight="1">
      <c r="E484" s="2"/>
    </row>
    <row r="485" ht="12.75" customHeight="1">
      <c r="E485" s="2"/>
    </row>
    <row r="486" ht="12.75" customHeight="1">
      <c r="E486" s="2"/>
    </row>
    <row r="487" ht="12.75" customHeight="1">
      <c r="E487" s="2"/>
    </row>
    <row r="488" ht="12.75" customHeight="1">
      <c r="E488" s="2"/>
    </row>
    <row r="489" ht="12.75" customHeight="1">
      <c r="E489" s="2"/>
    </row>
    <row r="490" ht="12.75" customHeight="1">
      <c r="E490" s="2"/>
    </row>
    <row r="491" ht="12.75" customHeight="1">
      <c r="E491" s="2"/>
    </row>
    <row r="492" ht="12.75" customHeight="1">
      <c r="E492" s="2"/>
    </row>
    <row r="493" ht="12.75" customHeight="1">
      <c r="E493" s="2"/>
    </row>
    <row r="494" ht="12.75" customHeight="1">
      <c r="E494" s="2"/>
    </row>
    <row r="495" ht="12.75" customHeight="1">
      <c r="E495" s="2"/>
    </row>
    <row r="496" ht="12.75" customHeight="1">
      <c r="E496" s="2"/>
    </row>
    <row r="497" ht="12.75" customHeight="1">
      <c r="E497" s="2"/>
    </row>
    <row r="498" ht="12.75" customHeight="1">
      <c r="E498" s="2"/>
    </row>
    <row r="499" ht="12.75" customHeight="1">
      <c r="E499" s="2"/>
    </row>
    <row r="500" ht="12.75" customHeight="1">
      <c r="E500" s="2"/>
    </row>
    <row r="501" ht="12.75" customHeight="1">
      <c r="E501" s="2"/>
    </row>
    <row r="502" ht="12.75" customHeight="1">
      <c r="E502" s="2"/>
    </row>
    <row r="503" ht="12.75" customHeight="1">
      <c r="E503" s="2"/>
    </row>
    <row r="504" ht="12.75" customHeight="1">
      <c r="E504" s="2"/>
    </row>
    <row r="505" ht="12.75" customHeight="1">
      <c r="E505" s="2"/>
    </row>
    <row r="506" ht="12.75" customHeight="1">
      <c r="E506" s="2"/>
    </row>
    <row r="507" ht="12.75" customHeight="1">
      <c r="E507" s="2"/>
    </row>
    <row r="508" ht="12.75" customHeight="1">
      <c r="E508" s="2"/>
    </row>
    <row r="509" ht="12.75" customHeight="1">
      <c r="E509" s="2"/>
    </row>
    <row r="510" ht="12.75" customHeight="1">
      <c r="E510" s="2"/>
    </row>
    <row r="511" ht="12.75" customHeight="1">
      <c r="E511" s="2"/>
    </row>
    <row r="512" ht="12.75" customHeight="1">
      <c r="E512" s="2"/>
    </row>
    <row r="513" ht="12.75" customHeight="1">
      <c r="E513" s="2"/>
    </row>
    <row r="514" ht="12.75" customHeight="1">
      <c r="E514" s="2"/>
    </row>
    <row r="515" ht="12.75" customHeight="1">
      <c r="E515" s="2"/>
    </row>
    <row r="516" ht="12.75" customHeight="1">
      <c r="E516" s="2"/>
    </row>
    <row r="517" ht="12.75" customHeight="1">
      <c r="E517" s="2"/>
    </row>
    <row r="518" ht="12.75" customHeight="1">
      <c r="E518" s="2"/>
    </row>
    <row r="519" ht="12.75" customHeight="1">
      <c r="E519" s="2"/>
    </row>
    <row r="520" ht="12.75" customHeight="1">
      <c r="E520" s="2"/>
    </row>
    <row r="521" ht="12.75" customHeight="1">
      <c r="E521" s="2"/>
    </row>
    <row r="522" ht="12.75" customHeight="1">
      <c r="E522" s="2"/>
    </row>
    <row r="523" ht="12.75" customHeight="1">
      <c r="E523" s="2"/>
    </row>
    <row r="524" ht="12.75" customHeight="1">
      <c r="E524" s="2"/>
    </row>
    <row r="525" ht="12.75" customHeight="1">
      <c r="E525" s="2"/>
    </row>
    <row r="526" ht="12.75" customHeight="1">
      <c r="E526" s="2"/>
    </row>
    <row r="527" ht="12.75" customHeight="1">
      <c r="E527" s="2"/>
    </row>
    <row r="528" ht="12.75" customHeight="1">
      <c r="E528" s="2"/>
    </row>
    <row r="529" ht="12.75" customHeight="1">
      <c r="E529" s="2"/>
    </row>
    <row r="530" ht="12.75" customHeight="1">
      <c r="E530" s="2"/>
    </row>
    <row r="531" ht="12.75" customHeight="1">
      <c r="E531" s="2"/>
    </row>
    <row r="532" ht="12.75" customHeight="1">
      <c r="E532" s="2"/>
    </row>
    <row r="533" ht="12.75" customHeight="1">
      <c r="E533" s="2"/>
    </row>
    <row r="534" ht="12.75" customHeight="1">
      <c r="E534" s="2"/>
    </row>
    <row r="535" ht="12.75" customHeight="1">
      <c r="E535" s="2"/>
    </row>
    <row r="536" ht="12.75" customHeight="1">
      <c r="E536" s="2"/>
    </row>
    <row r="537" ht="12.75" customHeight="1">
      <c r="E537" s="2"/>
    </row>
    <row r="538" ht="12.75" customHeight="1">
      <c r="E538" s="2"/>
    </row>
    <row r="539" ht="12.75" customHeight="1">
      <c r="E539" s="2"/>
    </row>
    <row r="540" ht="12.75" customHeight="1">
      <c r="E540" s="2"/>
    </row>
    <row r="541" ht="12.75" customHeight="1">
      <c r="E541" s="2"/>
    </row>
    <row r="542" ht="12.75" customHeight="1">
      <c r="E542" s="2"/>
    </row>
    <row r="543" ht="12.75" customHeight="1">
      <c r="E543" s="2"/>
    </row>
    <row r="544" ht="12.75" customHeight="1">
      <c r="E544" s="2"/>
    </row>
    <row r="545" ht="12.75" customHeight="1">
      <c r="E545" s="2"/>
    </row>
    <row r="546" ht="12.75" customHeight="1">
      <c r="E546" s="2"/>
    </row>
    <row r="547" ht="12.75" customHeight="1">
      <c r="E547" s="2"/>
    </row>
    <row r="548" ht="12.75" customHeight="1">
      <c r="E548" s="2"/>
    </row>
    <row r="549" ht="12.75" customHeight="1">
      <c r="E549" s="2"/>
    </row>
    <row r="550" ht="12.75" customHeight="1">
      <c r="E550" s="2"/>
    </row>
    <row r="551" ht="12.75" customHeight="1">
      <c r="E551" s="2"/>
    </row>
    <row r="552" ht="12.75" customHeight="1">
      <c r="E552" s="2"/>
    </row>
    <row r="553" ht="12.75" customHeight="1">
      <c r="E553" s="2"/>
    </row>
    <row r="554" ht="12.75" customHeight="1">
      <c r="E554" s="2"/>
    </row>
    <row r="555" ht="12.75" customHeight="1">
      <c r="E555" s="2"/>
    </row>
    <row r="556" ht="12.75" customHeight="1">
      <c r="E556" s="2"/>
    </row>
    <row r="557" ht="12.75" customHeight="1">
      <c r="E557" s="2"/>
    </row>
    <row r="558" ht="12.75" customHeight="1">
      <c r="E558" s="2"/>
    </row>
    <row r="559" ht="12.75" customHeight="1">
      <c r="E559" s="2"/>
    </row>
    <row r="560" ht="12.75" customHeight="1">
      <c r="E560" s="2"/>
    </row>
    <row r="561" ht="12.75" customHeight="1">
      <c r="E561" s="2"/>
    </row>
    <row r="562" ht="12.75" customHeight="1">
      <c r="E562" s="2"/>
    </row>
    <row r="563" ht="12.75" customHeight="1">
      <c r="E563" s="2"/>
    </row>
    <row r="564" ht="12.75" customHeight="1">
      <c r="E564" s="2"/>
    </row>
    <row r="565" ht="12.75" customHeight="1">
      <c r="E565" s="2"/>
    </row>
    <row r="566" ht="12.75" customHeight="1">
      <c r="E566" s="2"/>
    </row>
    <row r="567" ht="12.75" customHeight="1">
      <c r="E567" s="2"/>
    </row>
    <row r="568" ht="12.75" customHeight="1">
      <c r="E568" s="2"/>
    </row>
    <row r="569" ht="12.75" customHeight="1">
      <c r="E569" s="2"/>
    </row>
    <row r="570" ht="12.75" customHeight="1">
      <c r="E570" s="2"/>
    </row>
    <row r="571" ht="12.75" customHeight="1">
      <c r="E571" s="2"/>
    </row>
    <row r="572" ht="12.75" customHeight="1">
      <c r="E572" s="2"/>
    </row>
    <row r="573" ht="12.75" customHeight="1">
      <c r="E573" s="2"/>
    </row>
    <row r="574" ht="12.75" customHeight="1">
      <c r="E574" s="2"/>
    </row>
    <row r="575" ht="12.75" customHeight="1">
      <c r="E575" s="2"/>
    </row>
    <row r="576" ht="12.75" customHeight="1">
      <c r="E576" s="2"/>
    </row>
    <row r="577" ht="12.75" customHeight="1">
      <c r="E577" s="2"/>
    </row>
    <row r="578" ht="12.75" customHeight="1">
      <c r="E578" s="2"/>
    </row>
    <row r="579" ht="12.75" customHeight="1">
      <c r="E579" s="2"/>
    </row>
    <row r="580" ht="12.75" customHeight="1">
      <c r="E580" s="2"/>
    </row>
    <row r="581" ht="12.75" customHeight="1">
      <c r="E581" s="2"/>
    </row>
    <row r="582" ht="12.75" customHeight="1">
      <c r="E582" s="2"/>
    </row>
    <row r="583" ht="12.75" customHeight="1">
      <c r="E583" s="2"/>
    </row>
    <row r="584" ht="12.75" customHeight="1">
      <c r="E584" s="2"/>
    </row>
    <row r="585" ht="12.75" customHeight="1">
      <c r="E585" s="2"/>
    </row>
    <row r="586" ht="12.75" customHeight="1">
      <c r="E586" s="2"/>
    </row>
    <row r="587" ht="12.75" customHeight="1">
      <c r="E587" s="2"/>
    </row>
    <row r="588" ht="12.75" customHeight="1">
      <c r="E588" s="2"/>
    </row>
    <row r="589" ht="12.75" customHeight="1">
      <c r="E589" s="2"/>
    </row>
    <row r="590" ht="12.75" customHeight="1">
      <c r="E590" s="2"/>
    </row>
    <row r="591" ht="12.75" customHeight="1">
      <c r="E591" s="2"/>
    </row>
    <row r="592" ht="12.75" customHeight="1">
      <c r="E592" s="2"/>
    </row>
    <row r="593" ht="12.75" customHeight="1">
      <c r="E593" s="2"/>
    </row>
    <row r="594" ht="12.75" customHeight="1">
      <c r="E594" s="2"/>
    </row>
    <row r="595" ht="12.75" customHeight="1">
      <c r="E595" s="2"/>
    </row>
    <row r="596" ht="12.75" customHeight="1">
      <c r="E596" s="2"/>
    </row>
    <row r="597" ht="12.75" customHeight="1">
      <c r="E597" s="2"/>
    </row>
    <row r="598" ht="12.75" customHeight="1">
      <c r="E598" s="2"/>
    </row>
    <row r="599" ht="12.75" customHeight="1">
      <c r="E599" s="2"/>
    </row>
    <row r="600" ht="12.75" customHeight="1">
      <c r="E600" s="2"/>
    </row>
    <row r="601" ht="12.75" customHeight="1">
      <c r="E601" s="2"/>
    </row>
    <row r="602" ht="12.75" customHeight="1">
      <c r="E602" s="2"/>
    </row>
    <row r="603" ht="12.75" customHeight="1">
      <c r="E603" s="2"/>
    </row>
    <row r="604" ht="12.75" customHeight="1">
      <c r="E604" s="2"/>
    </row>
    <row r="605" ht="12.75" customHeight="1">
      <c r="E605" s="2"/>
    </row>
    <row r="606" ht="12.75" customHeight="1">
      <c r="E606" s="2"/>
    </row>
    <row r="607" ht="12.75" customHeight="1">
      <c r="E607" s="2"/>
    </row>
    <row r="608" ht="12.75" customHeight="1">
      <c r="E608" s="2"/>
    </row>
    <row r="609" ht="12.75" customHeight="1">
      <c r="E609" s="2"/>
    </row>
    <row r="610" ht="12.75" customHeight="1">
      <c r="E610" s="2"/>
    </row>
    <row r="611" ht="12.75" customHeight="1">
      <c r="E611" s="2"/>
    </row>
    <row r="612" ht="12.75" customHeight="1">
      <c r="E612" s="2"/>
    </row>
    <row r="613" ht="12.75" customHeight="1">
      <c r="E613" s="2"/>
    </row>
    <row r="614" ht="12.75" customHeight="1">
      <c r="E614" s="2"/>
    </row>
    <row r="615" ht="12.75" customHeight="1">
      <c r="E615" s="2"/>
    </row>
    <row r="616" ht="12.75" customHeight="1">
      <c r="E616" s="2"/>
    </row>
    <row r="617" ht="12.75" customHeight="1">
      <c r="E617" s="2"/>
    </row>
    <row r="618" ht="12.75" customHeight="1">
      <c r="E618" s="2"/>
    </row>
    <row r="619" ht="12.75" customHeight="1">
      <c r="E619" s="2"/>
    </row>
    <row r="620" ht="12.75" customHeight="1">
      <c r="E620" s="2"/>
    </row>
    <row r="621" ht="12.75" customHeight="1">
      <c r="E621" s="2"/>
    </row>
    <row r="622" ht="12.75" customHeight="1">
      <c r="E622" s="2"/>
    </row>
    <row r="623" ht="12.75" customHeight="1">
      <c r="E623" s="2"/>
    </row>
    <row r="624" ht="12.75" customHeight="1">
      <c r="E624" s="2"/>
    </row>
    <row r="625" ht="12.75" customHeight="1">
      <c r="E625" s="2"/>
    </row>
    <row r="626" ht="12.75" customHeight="1">
      <c r="E626" s="2"/>
    </row>
    <row r="627" ht="12.75" customHeight="1">
      <c r="E627" s="2"/>
    </row>
    <row r="628" ht="12.75" customHeight="1">
      <c r="E628" s="2"/>
    </row>
    <row r="629" ht="12.75" customHeight="1">
      <c r="E629" s="2"/>
    </row>
    <row r="630" ht="12.75" customHeight="1">
      <c r="E630" s="2"/>
    </row>
    <row r="631" ht="12.75" customHeight="1">
      <c r="E631" s="2"/>
    </row>
    <row r="632" ht="12.75" customHeight="1">
      <c r="E632" s="2"/>
    </row>
    <row r="633" ht="12.75" customHeight="1">
      <c r="E633" s="2"/>
    </row>
    <row r="634" ht="12.75" customHeight="1">
      <c r="E634" s="2"/>
    </row>
    <row r="635" ht="12.75" customHeight="1">
      <c r="E635" s="2"/>
    </row>
    <row r="636" ht="12.75" customHeight="1">
      <c r="E636" s="2"/>
    </row>
    <row r="637" ht="12.75" customHeight="1">
      <c r="E637" s="2"/>
    </row>
    <row r="638" ht="12.75" customHeight="1">
      <c r="E638" s="2"/>
    </row>
    <row r="639" ht="12.75" customHeight="1">
      <c r="E639" s="2"/>
    </row>
    <row r="640" ht="12.75" customHeight="1">
      <c r="E640" s="2"/>
    </row>
    <row r="641" ht="12.75" customHeight="1">
      <c r="E641" s="2"/>
    </row>
    <row r="642" ht="12.75" customHeight="1">
      <c r="E642" s="2"/>
    </row>
    <row r="643" ht="12.75" customHeight="1">
      <c r="E643" s="2"/>
    </row>
    <row r="644" ht="12.75" customHeight="1">
      <c r="E644" s="2"/>
    </row>
    <row r="645" ht="12.75" customHeight="1">
      <c r="E645" s="2"/>
    </row>
    <row r="646" ht="12.75" customHeight="1">
      <c r="E646" s="2"/>
    </row>
    <row r="647" ht="12.75" customHeight="1">
      <c r="E647" s="2"/>
    </row>
    <row r="648" ht="12.75" customHeight="1">
      <c r="E648" s="2"/>
    </row>
    <row r="649" ht="12.75" customHeight="1">
      <c r="E649" s="2"/>
    </row>
    <row r="650" ht="12.75" customHeight="1">
      <c r="E650" s="2"/>
    </row>
    <row r="651" ht="12.75" customHeight="1">
      <c r="E651" s="2"/>
    </row>
    <row r="652" ht="12.75" customHeight="1">
      <c r="E652" s="2"/>
    </row>
    <row r="653" ht="12.75" customHeight="1">
      <c r="E653" s="2"/>
    </row>
    <row r="654" ht="12.75" customHeight="1">
      <c r="E654" s="2"/>
    </row>
    <row r="655" ht="12.75" customHeight="1">
      <c r="E655" s="2"/>
    </row>
    <row r="656" ht="12.75" customHeight="1">
      <c r="E656" s="2"/>
    </row>
    <row r="657" ht="12.75" customHeight="1">
      <c r="E657" s="2"/>
    </row>
    <row r="658" ht="12.75" customHeight="1">
      <c r="E658" s="2"/>
    </row>
    <row r="659" ht="12.75" customHeight="1">
      <c r="E659" s="2"/>
    </row>
    <row r="660" ht="12.75" customHeight="1">
      <c r="E660" s="2"/>
    </row>
    <row r="661" ht="12.75" customHeight="1">
      <c r="E661" s="2"/>
    </row>
    <row r="662" ht="12.75" customHeight="1">
      <c r="E662" s="2"/>
    </row>
    <row r="663" ht="12.75" customHeight="1">
      <c r="E663" s="2"/>
    </row>
    <row r="664" ht="12.75" customHeight="1">
      <c r="E664" s="2"/>
    </row>
    <row r="665" ht="12.75" customHeight="1">
      <c r="E665" s="2"/>
    </row>
    <row r="666" ht="12.75" customHeight="1">
      <c r="E666" s="2"/>
    </row>
    <row r="667" ht="12.75" customHeight="1">
      <c r="E667" s="2"/>
    </row>
    <row r="668" ht="12.75" customHeight="1">
      <c r="E668" s="2"/>
    </row>
    <row r="669" ht="12.75" customHeight="1">
      <c r="E669" s="2"/>
    </row>
    <row r="670" ht="12.75" customHeight="1">
      <c r="E670" s="2"/>
    </row>
    <row r="671" ht="12.75" customHeight="1">
      <c r="E671" s="2"/>
    </row>
    <row r="672" ht="12.75" customHeight="1">
      <c r="E672" s="2"/>
    </row>
    <row r="673" ht="12.75" customHeight="1">
      <c r="E673" s="2"/>
    </row>
    <row r="674" ht="12.75" customHeight="1">
      <c r="E674" s="2"/>
    </row>
    <row r="675" ht="12.75" customHeight="1">
      <c r="E675" s="2"/>
    </row>
    <row r="676" ht="12.75" customHeight="1">
      <c r="E676" s="2"/>
    </row>
    <row r="677" ht="12.75" customHeight="1">
      <c r="E677" s="2"/>
    </row>
    <row r="678" ht="12.75" customHeight="1">
      <c r="E678" s="2"/>
    </row>
    <row r="679" ht="12.75" customHeight="1">
      <c r="E679" s="2"/>
    </row>
    <row r="680" ht="12.75" customHeight="1">
      <c r="E680" s="2"/>
    </row>
    <row r="681" ht="12.75" customHeight="1">
      <c r="E681" s="2"/>
    </row>
    <row r="682" ht="12.75" customHeight="1">
      <c r="E682" s="2"/>
    </row>
    <row r="683" ht="12.75" customHeight="1">
      <c r="E683" s="2"/>
    </row>
    <row r="684" ht="12.75" customHeight="1">
      <c r="E684" s="2"/>
    </row>
    <row r="685" ht="12.75" customHeight="1">
      <c r="E685" s="2"/>
    </row>
    <row r="686" ht="12.75" customHeight="1">
      <c r="E686" s="2"/>
    </row>
    <row r="687" ht="12.75" customHeight="1">
      <c r="E687" s="2"/>
    </row>
    <row r="688" ht="12.75" customHeight="1">
      <c r="E688" s="2"/>
    </row>
    <row r="689" ht="12.75" customHeight="1">
      <c r="E689" s="2"/>
    </row>
    <row r="690" ht="12.75" customHeight="1">
      <c r="E690" s="2"/>
    </row>
    <row r="691" ht="12.75" customHeight="1">
      <c r="E691" s="2"/>
    </row>
    <row r="692" ht="12.75" customHeight="1">
      <c r="E692" s="2"/>
    </row>
    <row r="693" ht="12.75" customHeight="1">
      <c r="E693" s="2"/>
    </row>
    <row r="694" ht="12.75" customHeight="1">
      <c r="E694" s="2"/>
    </row>
    <row r="695" ht="12.75" customHeight="1">
      <c r="E695" s="2"/>
    </row>
    <row r="696" ht="12.75" customHeight="1">
      <c r="E696" s="2"/>
    </row>
    <row r="697" ht="12.75" customHeight="1">
      <c r="E697" s="2"/>
    </row>
    <row r="698" ht="12.75" customHeight="1">
      <c r="E698" s="2"/>
    </row>
    <row r="699" ht="12.75" customHeight="1">
      <c r="E699" s="2"/>
    </row>
    <row r="700" ht="12.75" customHeight="1">
      <c r="E700" s="2"/>
    </row>
    <row r="701" ht="12.75" customHeight="1">
      <c r="E701" s="2"/>
    </row>
    <row r="702" ht="12.75" customHeight="1">
      <c r="E702" s="2"/>
    </row>
    <row r="703" ht="12.75" customHeight="1">
      <c r="E703" s="2"/>
    </row>
    <row r="704" ht="12.75" customHeight="1">
      <c r="E704" s="2"/>
    </row>
    <row r="705" ht="12.75" customHeight="1">
      <c r="E705" s="2"/>
    </row>
    <row r="706" ht="12.75" customHeight="1">
      <c r="E706" s="2"/>
    </row>
    <row r="707" ht="12.75" customHeight="1">
      <c r="E707" s="2"/>
    </row>
    <row r="708" ht="12.75" customHeight="1">
      <c r="E708" s="2"/>
    </row>
    <row r="709" ht="12.75" customHeight="1">
      <c r="E709" s="2"/>
    </row>
    <row r="710" ht="12.75" customHeight="1">
      <c r="E710" s="2"/>
    </row>
    <row r="711" ht="12.75" customHeight="1">
      <c r="E711" s="2"/>
    </row>
    <row r="712" ht="12.75" customHeight="1">
      <c r="E712" s="2"/>
    </row>
    <row r="713" ht="12.75" customHeight="1">
      <c r="E713" s="2"/>
    </row>
    <row r="714" ht="12.75" customHeight="1">
      <c r="E714" s="2"/>
    </row>
    <row r="715" ht="12.75" customHeight="1">
      <c r="E715" s="2"/>
    </row>
    <row r="716" ht="12.75" customHeight="1">
      <c r="E716" s="2"/>
    </row>
    <row r="717" ht="12.75" customHeight="1">
      <c r="E717" s="2"/>
    </row>
    <row r="718" ht="12.75" customHeight="1">
      <c r="E718" s="2"/>
    </row>
    <row r="719" ht="12.75" customHeight="1">
      <c r="E719" s="2"/>
    </row>
    <row r="720" ht="12.75" customHeight="1">
      <c r="E720" s="2"/>
    </row>
    <row r="721" ht="12.75" customHeight="1">
      <c r="E721" s="2"/>
    </row>
    <row r="722" ht="12.75" customHeight="1">
      <c r="E722" s="2"/>
    </row>
    <row r="723" ht="12.75" customHeight="1">
      <c r="E723" s="2"/>
    </row>
    <row r="724" ht="12.75" customHeight="1">
      <c r="E724" s="2"/>
    </row>
    <row r="725" ht="12.75" customHeight="1">
      <c r="E725" s="2"/>
    </row>
    <row r="726" ht="12.75" customHeight="1">
      <c r="E726" s="2"/>
    </row>
    <row r="727" ht="12.75" customHeight="1">
      <c r="E727" s="2"/>
    </row>
    <row r="728" ht="12.75" customHeight="1">
      <c r="E728" s="2"/>
    </row>
    <row r="729" ht="12.75" customHeight="1">
      <c r="E729" s="2"/>
    </row>
    <row r="730" ht="12.75" customHeight="1">
      <c r="E730" s="2"/>
    </row>
    <row r="731" ht="12.75" customHeight="1">
      <c r="E731" s="2"/>
    </row>
    <row r="732" ht="12.75" customHeight="1">
      <c r="E732" s="2"/>
    </row>
    <row r="733" ht="12.75" customHeight="1">
      <c r="E733" s="2"/>
    </row>
    <row r="734" ht="12.75" customHeight="1">
      <c r="E734" s="2"/>
    </row>
    <row r="735" ht="12.75" customHeight="1">
      <c r="E735" s="2"/>
    </row>
    <row r="736" ht="12.75" customHeight="1">
      <c r="E736" s="2"/>
    </row>
    <row r="737" ht="12.75" customHeight="1">
      <c r="E737" s="2"/>
    </row>
    <row r="738" ht="12.75" customHeight="1">
      <c r="E738" s="2"/>
    </row>
    <row r="739" ht="12.75" customHeight="1">
      <c r="E739" s="2"/>
    </row>
    <row r="740" ht="12.75" customHeight="1">
      <c r="E740" s="2"/>
    </row>
    <row r="741" ht="12.75" customHeight="1">
      <c r="E741" s="2"/>
    </row>
    <row r="742" ht="12.75" customHeight="1">
      <c r="E742" s="2"/>
    </row>
    <row r="743" ht="12.75" customHeight="1">
      <c r="E743" s="2"/>
    </row>
    <row r="744" ht="12.75" customHeight="1">
      <c r="E744" s="2"/>
    </row>
    <row r="745" ht="12.75" customHeight="1">
      <c r="E745" s="2"/>
    </row>
    <row r="746" ht="12.75" customHeight="1">
      <c r="E746" s="2"/>
    </row>
    <row r="747" ht="12.75" customHeight="1">
      <c r="E747" s="2"/>
    </row>
    <row r="748" ht="12.75" customHeight="1">
      <c r="E748" s="2"/>
    </row>
    <row r="749" ht="12.75" customHeight="1">
      <c r="E749" s="2"/>
    </row>
    <row r="750" ht="12.75" customHeight="1">
      <c r="E750" s="2"/>
    </row>
    <row r="751" ht="12.75" customHeight="1">
      <c r="E751" s="2"/>
    </row>
    <row r="752" ht="12.75" customHeight="1">
      <c r="E752" s="2"/>
    </row>
    <row r="753" ht="12.75" customHeight="1">
      <c r="E753" s="2"/>
    </row>
    <row r="754" ht="12.75" customHeight="1">
      <c r="E754" s="2"/>
    </row>
    <row r="755" ht="12.75" customHeight="1">
      <c r="E755" s="2"/>
    </row>
    <row r="756" ht="12.75" customHeight="1">
      <c r="E756" s="2"/>
    </row>
    <row r="757" ht="12.75" customHeight="1">
      <c r="E757" s="2"/>
    </row>
    <row r="758" ht="12.75" customHeight="1">
      <c r="E758" s="2"/>
    </row>
    <row r="759" ht="12.75" customHeight="1">
      <c r="E759" s="2"/>
    </row>
    <row r="760" ht="12.75" customHeight="1">
      <c r="E760" s="2"/>
    </row>
    <row r="761" ht="12.75" customHeight="1">
      <c r="E761" s="2"/>
    </row>
    <row r="762" ht="12.75" customHeight="1">
      <c r="E762" s="2"/>
    </row>
    <row r="763" ht="12.75" customHeight="1">
      <c r="E763" s="2"/>
    </row>
    <row r="764" ht="12.75" customHeight="1">
      <c r="E764" s="2"/>
    </row>
    <row r="765" ht="12.75" customHeight="1">
      <c r="E765" s="2"/>
    </row>
    <row r="766" ht="12.75" customHeight="1">
      <c r="E766" s="2"/>
    </row>
    <row r="767" ht="12.75" customHeight="1">
      <c r="E767" s="2"/>
    </row>
    <row r="768" ht="12.75" customHeight="1">
      <c r="E768" s="2"/>
    </row>
    <row r="769" ht="12.75" customHeight="1">
      <c r="E769" s="2"/>
    </row>
    <row r="770" ht="12.75" customHeight="1">
      <c r="E770" s="2"/>
    </row>
    <row r="771" ht="12.75" customHeight="1">
      <c r="E771" s="2"/>
    </row>
    <row r="772" ht="12.75" customHeight="1">
      <c r="E772" s="2"/>
    </row>
    <row r="773" ht="12.75" customHeight="1">
      <c r="E773" s="2"/>
    </row>
    <row r="774" ht="12.75" customHeight="1">
      <c r="E774" s="2"/>
    </row>
    <row r="775" ht="12.75" customHeight="1">
      <c r="E775" s="2"/>
    </row>
    <row r="776" ht="12.75" customHeight="1">
      <c r="E776" s="2"/>
    </row>
    <row r="777" ht="12.75" customHeight="1">
      <c r="E777" s="2"/>
    </row>
    <row r="778" ht="12.75" customHeight="1">
      <c r="E778" s="2"/>
    </row>
    <row r="779" ht="12.75" customHeight="1">
      <c r="E779" s="2"/>
    </row>
    <row r="780" ht="12.75" customHeight="1">
      <c r="E780" s="2"/>
    </row>
    <row r="781" ht="12.75" customHeight="1">
      <c r="E781" s="2"/>
    </row>
    <row r="782" ht="12.75" customHeight="1">
      <c r="E782" s="2"/>
    </row>
    <row r="783" ht="12.75" customHeight="1">
      <c r="E783" s="2"/>
    </row>
    <row r="784" ht="12.75" customHeight="1">
      <c r="E784" s="2"/>
    </row>
    <row r="785" ht="12.75" customHeight="1">
      <c r="E785" s="2"/>
    </row>
    <row r="786" ht="12.75" customHeight="1">
      <c r="E786" s="2"/>
    </row>
    <row r="787" ht="12.75" customHeight="1">
      <c r="E787" s="2"/>
    </row>
    <row r="788" ht="12.75" customHeight="1">
      <c r="E788" s="2"/>
    </row>
    <row r="789" ht="12.75" customHeight="1">
      <c r="E789" s="2"/>
    </row>
    <row r="790" ht="12.75" customHeight="1">
      <c r="E790" s="2"/>
    </row>
    <row r="791" ht="12.75" customHeight="1">
      <c r="E791" s="2"/>
    </row>
    <row r="792" ht="12.75" customHeight="1">
      <c r="E792" s="2"/>
    </row>
    <row r="793" ht="12.75" customHeight="1">
      <c r="E793" s="2"/>
    </row>
    <row r="794" ht="12.75" customHeight="1">
      <c r="E794" s="2"/>
    </row>
    <row r="795" ht="12.75" customHeight="1">
      <c r="E795" s="2"/>
    </row>
    <row r="796" ht="12.75" customHeight="1">
      <c r="E796" s="2"/>
    </row>
    <row r="797" ht="12.75" customHeight="1">
      <c r="E797" s="2"/>
    </row>
    <row r="798" ht="12.75" customHeight="1">
      <c r="E798" s="2"/>
    </row>
    <row r="799" ht="12.75" customHeight="1">
      <c r="E799" s="2"/>
    </row>
    <row r="800" ht="12.75" customHeight="1">
      <c r="E800" s="2"/>
    </row>
    <row r="801" ht="12.75" customHeight="1">
      <c r="E801" s="2"/>
    </row>
    <row r="802" ht="12.75" customHeight="1">
      <c r="E802" s="2"/>
    </row>
    <row r="803" ht="12.75" customHeight="1">
      <c r="E803" s="2"/>
    </row>
    <row r="804" ht="12.75" customHeight="1">
      <c r="E804" s="2"/>
    </row>
    <row r="805" ht="12.75" customHeight="1">
      <c r="E805" s="2"/>
    </row>
    <row r="806" ht="12.75" customHeight="1">
      <c r="E806" s="2"/>
    </row>
    <row r="807" ht="12.75" customHeight="1">
      <c r="E807" s="2"/>
    </row>
    <row r="808" ht="12.75" customHeight="1">
      <c r="E808" s="2"/>
    </row>
    <row r="809" ht="12.75" customHeight="1">
      <c r="E809" s="2"/>
    </row>
    <row r="810" ht="12.75" customHeight="1">
      <c r="E810" s="2"/>
    </row>
    <row r="811" ht="12.75" customHeight="1">
      <c r="E811" s="2"/>
    </row>
    <row r="812" ht="12.75" customHeight="1">
      <c r="E812" s="2"/>
    </row>
    <row r="813" ht="12.75" customHeight="1">
      <c r="E813" s="2"/>
    </row>
    <row r="814" ht="12.75" customHeight="1">
      <c r="E814" s="2"/>
    </row>
    <row r="815" ht="12.75" customHeight="1">
      <c r="E815" s="2"/>
    </row>
    <row r="816" ht="12.75" customHeight="1">
      <c r="E816" s="2"/>
    </row>
    <row r="817" ht="12.75" customHeight="1">
      <c r="E817" s="2"/>
    </row>
    <row r="818" ht="12.75" customHeight="1">
      <c r="E818" s="2"/>
    </row>
    <row r="819" ht="12.75" customHeight="1">
      <c r="E819" s="2"/>
    </row>
    <row r="820" ht="12.75" customHeight="1">
      <c r="E820" s="2"/>
    </row>
    <row r="821" ht="12.75" customHeight="1">
      <c r="E821" s="2"/>
    </row>
    <row r="822" ht="12.75" customHeight="1">
      <c r="E822" s="2"/>
    </row>
    <row r="823" ht="12.75" customHeight="1">
      <c r="E823" s="2"/>
    </row>
    <row r="824" ht="12.75" customHeight="1">
      <c r="E824" s="2"/>
    </row>
    <row r="825" ht="12.75" customHeight="1">
      <c r="E825" s="2"/>
    </row>
    <row r="826" ht="12.75" customHeight="1">
      <c r="E826" s="2"/>
    </row>
    <row r="827" ht="12.75" customHeight="1">
      <c r="E827" s="2"/>
    </row>
    <row r="828" ht="12.75" customHeight="1">
      <c r="E828" s="2"/>
    </row>
    <row r="829" ht="12.75" customHeight="1">
      <c r="E829" s="2"/>
    </row>
    <row r="830" ht="12.75" customHeight="1">
      <c r="E830" s="2"/>
    </row>
    <row r="831" ht="12.75" customHeight="1">
      <c r="E831" s="2"/>
    </row>
    <row r="832" ht="12.75" customHeight="1">
      <c r="E832" s="2"/>
    </row>
    <row r="833" ht="12.75" customHeight="1">
      <c r="E833" s="2"/>
    </row>
    <row r="834" ht="12.75" customHeight="1">
      <c r="E834" s="2"/>
    </row>
    <row r="835" ht="12.75" customHeight="1">
      <c r="E835" s="2"/>
    </row>
    <row r="836" ht="12.75" customHeight="1">
      <c r="E836" s="2"/>
    </row>
    <row r="837" ht="12.75" customHeight="1">
      <c r="E837" s="2"/>
    </row>
    <row r="838" ht="12.75" customHeight="1">
      <c r="E838" s="2"/>
    </row>
    <row r="839" ht="12.75" customHeight="1">
      <c r="E839" s="2"/>
    </row>
    <row r="840" ht="12.75" customHeight="1">
      <c r="E840" s="2"/>
    </row>
    <row r="841" ht="12.75" customHeight="1">
      <c r="E841" s="2"/>
    </row>
    <row r="842" ht="12.75" customHeight="1">
      <c r="E842" s="2"/>
    </row>
    <row r="843" ht="12.75" customHeight="1">
      <c r="E843" s="2"/>
    </row>
    <row r="844" ht="12.75" customHeight="1">
      <c r="E844" s="2"/>
    </row>
    <row r="845" ht="12.75" customHeight="1">
      <c r="E845" s="2"/>
    </row>
    <row r="846" ht="12.75" customHeight="1">
      <c r="E846" s="2"/>
    </row>
    <row r="847" ht="12.75" customHeight="1">
      <c r="E847" s="2"/>
    </row>
    <row r="848" ht="12.75" customHeight="1">
      <c r="E848" s="2"/>
    </row>
    <row r="849" ht="12.75" customHeight="1">
      <c r="E849" s="2"/>
    </row>
    <row r="850" ht="12.75" customHeight="1">
      <c r="E850" s="2"/>
    </row>
    <row r="851" ht="12.75" customHeight="1">
      <c r="E851" s="2"/>
    </row>
    <row r="852" ht="12.75" customHeight="1">
      <c r="E852" s="2"/>
    </row>
    <row r="853" ht="12.75" customHeight="1">
      <c r="E853" s="2"/>
    </row>
    <row r="854" ht="12.75" customHeight="1">
      <c r="E854" s="2"/>
    </row>
    <row r="855" ht="12.75" customHeight="1">
      <c r="E855" s="2"/>
    </row>
    <row r="856" ht="12.75" customHeight="1">
      <c r="E856" s="2"/>
    </row>
    <row r="857" ht="12.75" customHeight="1">
      <c r="E857" s="2"/>
    </row>
    <row r="858" ht="12.75" customHeight="1">
      <c r="E858" s="2"/>
    </row>
    <row r="859" ht="12.75" customHeight="1">
      <c r="E859" s="2"/>
    </row>
    <row r="860" ht="12.75" customHeight="1">
      <c r="E860" s="2"/>
    </row>
    <row r="861" ht="12.75" customHeight="1">
      <c r="E861" s="2"/>
    </row>
    <row r="862" ht="12.75" customHeight="1">
      <c r="E862" s="2"/>
    </row>
    <row r="863" ht="12.75" customHeight="1">
      <c r="E863" s="2"/>
    </row>
    <row r="864" ht="12.75" customHeight="1">
      <c r="E864" s="2"/>
    </row>
    <row r="865" ht="12.75" customHeight="1">
      <c r="E865" s="2"/>
    </row>
    <row r="866" ht="12.75" customHeight="1">
      <c r="E866" s="2"/>
    </row>
    <row r="867" ht="12.75" customHeight="1">
      <c r="E867" s="2"/>
    </row>
    <row r="868" ht="12.75" customHeight="1">
      <c r="E868" s="2"/>
    </row>
    <row r="869" ht="12.75" customHeight="1">
      <c r="E869" s="2"/>
    </row>
    <row r="870" ht="12.75" customHeight="1">
      <c r="E870" s="2"/>
    </row>
    <row r="871" ht="12.75" customHeight="1">
      <c r="E871" s="2"/>
    </row>
    <row r="872" ht="12.75" customHeight="1">
      <c r="E872" s="2"/>
    </row>
    <row r="873" ht="12.75" customHeight="1">
      <c r="E873" s="2"/>
    </row>
    <row r="874" ht="12.75" customHeight="1">
      <c r="E874" s="2"/>
    </row>
    <row r="875" ht="12.75" customHeight="1">
      <c r="E875" s="2"/>
    </row>
    <row r="876" ht="12.75" customHeight="1">
      <c r="E876" s="2"/>
    </row>
    <row r="877" ht="12.75" customHeight="1">
      <c r="E877" s="2"/>
    </row>
    <row r="878" ht="12.75" customHeight="1">
      <c r="E878" s="2"/>
    </row>
    <row r="879" ht="12.75" customHeight="1">
      <c r="E879" s="2"/>
    </row>
    <row r="880" ht="12.75" customHeight="1">
      <c r="E880" s="2"/>
    </row>
    <row r="881" ht="12.75" customHeight="1">
      <c r="E881" s="2"/>
    </row>
    <row r="882" ht="12.75" customHeight="1">
      <c r="E882" s="2"/>
    </row>
    <row r="883" ht="12.75" customHeight="1">
      <c r="E883" s="2"/>
    </row>
    <row r="884" ht="12.75" customHeight="1">
      <c r="E884" s="2"/>
    </row>
    <row r="885" ht="12.75" customHeight="1">
      <c r="E885" s="2"/>
    </row>
    <row r="886" ht="12.75" customHeight="1">
      <c r="E886" s="2"/>
    </row>
    <row r="887" ht="12.75" customHeight="1">
      <c r="E887" s="2"/>
    </row>
    <row r="888" ht="12.75" customHeight="1">
      <c r="E888" s="2"/>
    </row>
    <row r="889" ht="12.75" customHeight="1">
      <c r="E889" s="2"/>
    </row>
    <row r="890" ht="12.75" customHeight="1">
      <c r="E890" s="2"/>
    </row>
    <row r="891" ht="12.75" customHeight="1">
      <c r="E891" s="2"/>
    </row>
    <row r="892" ht="12.75" customHeight="1">
      <c r="E892" s="2"/>
    </row>
    <row r="893" ht="12.75" customHeight="1">
      <c r="E893" s="2"/>
    </row>
    <row r="894" ht="12.75" customHeight="1">
      <c r="E894" s="2"/>
    </row>
    <row r="895" ht="12.75" customHeight="1">
      <c r="E895" s="2"/>
    </row>
    <row r="896" ht="12.75" customHeight="1">
      <c r="E896" s="2"/>
    </row>
    <row r="897" ht="12.75" customHeight="1">
      <c r="E897" s="2"/>
    </row>
    <row r="898" ht="12.75" customHeight="1">
      <c r="E898" s="2"/>
    </row>
    <row r="899" ht="12.75" customHeight="1">
      <c r="E899" s="2"/>
    </row>
    <row r="900" ht="12.75" customHeight="1">
      <c r="E900" s="2"/>
    </row>
    <row r="901" ht="12.75" customHeight="1">
      <c r="E901" s="2"/>
    </row>
    <row r="902" ht="12.75" customHeight="1">
      <c r="E902" s="2"/>
    </row>
    <row r="903" ht="12.75" customHeight="1">
      <c r="E903" s="2"/>
    </row>
    <row r="904" ht="12.75" customHeight="1">
      <c r="E904" s="2"/>
    </row>
    <row r="905" ht="12.75" customHeight="1">
      <c r="E905" s="2"/>
    </row>
    <row r="906" ht="12.75" customHeight="1">
      <c r="E906" s="2"/>
    </row>
    <row r="907" ht="12.75" customHeight="1">
      <c r="E907" s="2"/>
    </row>
    <row r="908" ht="12.75" customHeight="1">
      <c r="E908" s="2"/>
    </row>
    <row r="909" ht="12.75" customHeight="1">
      <c r="E909" s="2"/>
    </row>
    <row r="910" ht="12.75" customHeight="1">
      <c r="E910" s="2"/>
    </row>
    <row r="911" ht="12.75" customHeight="1">
      <c r="E911" s="2"/>
    </row>
    <row r="912" ht="12.75" customHeight="1">
      <c r="E912" s="2"/>
    </row>
    <row r="913" ht="12.75" customHeight="1">
      <c r="E913" s="2"/>
    </row>
    <row r="914" ht="12.75" customHeight="1">
      <c r="E914" s="2"/>
    </row>
    <row r="915" ht="12.75" customHeight="1">
      <c r="E915" s="2"/>
    </row>
    <row r="916" ht="12.75" customHeight="1">
      <c r="E916" s="2"/>
    </row>
    <row r="917" ht="12.75" customHeight="1">
      <c r="E917" s="2"/>
    </row>
    <row r="918" ht="12.75" customHeight="1">
      <c r="E918" s="2"/>
    </row>
    <row r="919" ht="12.75" customHeight="1">
      <c r="E919" s="2"/>
    </row>
    <row r="920" ht="12.75" customHeight="1">
      <c r="E920" s="2"/>
    </row>
    <row r="921" ht="12.75" customHeight="1">
      <c r="E921" s="2"/>
    </row>
    <row r="922" ht="12.75" customHeight="1">
      <c r="E922" s="2"/>
    </row>
    <row r="923" ht="12.75" customHeight="1">
      <c r="E923" s="2"/>
    </row>
    <row r="924" ht="12.75" customHeight="1">
      <c r="E924" s="2"/>
    </row>
    <row r="925" ht="12.75" customHeight="1">
      <c r="E925" s="2"/>
    </row>
    <row r="926" ht="12.75" customHeight="1">
      <c r="E926" s="2"/>
    </row>
    <row r="927" ht="12.75" customHeight="1">
      <c r="E927" s="2"/>
    </row>
    <row r="928" ht="12.75" customHeight="1">
      <c r="E928" s="2"/>
    </row>
    <row r="929" ht="12.75" customHeight="1">
      <c r="E929" s="2"/>
    </row>
    <row r="930" ht="12.75" customHeight="1">
      <c r="E930" s="2"/>
    </row>
    <row r="931" ht="12.75" customHeight="1">
      <c r="E931" s="2"/>
    </row>
    <row r="932" ht="12.75" customHeight="1">
      <c r="E932" s="2"/>
    </row>
    <row r="933" ht="12.75" customHeight="1">
      <c r="E933" s="2"/>
    </row>
    <row r="934" ht="12.75" customHeight="1">
      <c r="E934" s="2"/>
    </row>
    <row r="935" ht="12.75" customHeight="1">
      <c r="E935" s="2"/>
    </row>
    <row r="936" ht="12.75" customHeight="1">
      <c r="E936" s="2"/>
    </row>
    <row r="937" ht="12.75" customHeight="1">
      <c r="E937" s="2"/>
    </row>
    <row r="938" ht="12.75" customHeight="1">
      <c r="E938" s="2"/>
    </row>
    <row r="939" ht="12.75" customHeight="1">
      <c r="E939" s="2"/>
    </row>
    <row r="940" ht="12.75" customHeight="1">
      <c r="E940" s="2"/>
    </row>
    <row r="941" ht="12.75" customHeight="1">
      <c r="E941" s="2"/>
    </row>
    <row r="942" ht="12.75" customHeight="1">
      <c r="E942" s="2"/>
    </row>
    <row r="943" ht="12.75" customHeight="1">
      <c r="E943" s="2"/>
    </row>
    <row r="944" ht="12.75" customHeight="1">
      <c r="E944" s="2"/>
    </row>
    <row r="945" ht="12.75" customHeight="1">
      <c r="E945" s="2"/>
    </row>
    <row r="946" ht="12.75" customHeight="1">
      <c r="E946" s="2"/>
    </row>
    <row r="947" ht="12.75" customHeight="1">
      <c r="E947" s="2"/>
    </row>
    <row r="948" ht="12.75" customHeight="1">
      <c r="E948" s="2"/>
    </row>
    <row r="949" ht="12.75" customHeight="1">
      <c r="E949" s="2"/>
    </row>
    <row r="950" ht="12.75" customHeight="1">
      <c r="E950" s="2"/>
    </row>
    <row r="951" ht="12.75" customHeight="1">
      <c r="E951" s="2"/>
    </row>
    <row r="952" ht="12.75" customHeight="1">
      <c r="E952" s="2"/>
    </row>
    <row r="953" ht="12.75" customHeight="1">
      <c r="E953" s="2"/>
    </row>
    <row r="954" ht="12.75" customHeight="1">
      <c r="E954" s="2"/>
    </row>
    <row r="955" ht="12.75" customHeight="1">
      <c r="E955" s="2"/>
    </row>
    <row r="956" ht="12.75" customHeight="1">
      <c r="E956" s="2"/>
    </row>
    <row r="957" ht="12.75" customHeight="1">
      <c r="E957" s="2"/>
    </row>
    <row r="958" ht="12.75" customHeight="1">
      <c r="E958" s="2"/>
    </row>
    <row r="959" ht="12.75" customHeight="1">
      <c r="E959" s="2"/>
    </row>
    <row r="960" ht="12.75" customHeight="1">
      <c r="E960" s="2"/>
    </row>
    <row r="961" ht="12.75" customHeight="1">
      <c r="E961" s="2"/>
    </row>
    <row r="962" ht="12.75" customHeight="1">
      <c r="E962" s="2"/>
    </row>
    <row r="963" ht="12.75" customHeight="1">
      <c r="E963" s="2"/>
    </row>
    <row r="964" ht="12.75" customHeight="1">
      <c r="E964" s="2"/>
    </row>
    <row r="965" ht="12.75" customHeight="1">
      <c r="E965" s="2"/>
    </row>
    <row r="966" ht="12.75" customHeight="1">
      <c r="E966" s="2"/>
    </row>
    <row r="967" ht="12.75" customHeight="1">
      <c r="E967" s="2"/>
    </row>
    <row r="968" ht="12.75" customHeight="1">
      <c r="E968" s="2"/>
    </row>
    <row r="969" ht="12.75" customHeight="1">
      <c r="E969" s="2"/>
    </row>
    <row r="970" ht="12.75" customHeight="1">
      <c r="E970" s="2"/>
    </row>
    <row r="971" ht="12.75" customHeight="1">
      <c r="E971" s="2"/>
    </row>
    <row r="972" ht="12.75" customHeight="1">
      <c r="E972" s="2"/>
    </row>
    <row r="973" ht="12.75" customHeight="1">
      <c r="E973" s="2"/>
    </row>
    <row r="974" ht="12.75" customHeight="1">
      <c r="E974" s="2"/>
    </row>
    <row r="975" ht="12.75" customHeight="1">
      <c r="E975" s="2"/>
    </row>
    <row r="976" ht="12.75" customHeight="1">
      <c r="E976" s="2"/>
    </row>
    <row r="977" ht="12.75" customHeight="1">
      <c r="E977" s="2"/>
    </row>
    <row r="978" ht="12.75" customHeight="1">
      <c r="E978" s="2"/>
    </row>
    <row r="979" ht="12.75" customHeight="1">
      <c r="E979" s="2"/>
    </row>
    <row r="980" ht="12.75" customHeight="1">
      <c r="E980" s="2"/>
    </row>
    <row r="981" ht="12.75" customHeight="1">
      <c r="E981" s="2"/>
    </row>
    <row r="982" ht="12.75" customHeight="1">
      <c r="E982" s="2"/>
    </row>
    <row r="983" ht="12.75" customHeight="1">
      <c r="E983" s="2"/>
    </row>
    <row r="984" ht="12.75" customHeight="1">
      <c r="E984" s="2"/>
    </row>
    <row r="985" ht="12.75" customHeight="1">
      <c r="E985" s="2"/>
    </row>
    <row r="986" ht="12.75" customHeight="1">
      <c r="E986" s="2"/>
    </row>
    <row r="987" ht="12.75" customHeight="1">
      <c r="E987" s="2"/>
    </row>
    <row r="988" ht="12.75" customHeight="1">
      <c r="E988" s="2"/>
    </row>
    <row r="989" ht="12.75" customHeight="1">
      <c r="E989" s="2"/>
    </row>
    <row r="990" ht="12.75" customHeight="1">
      <c r="E990" s="2"/>
    </row>
    <row r="991" ht="12.75" customHeight="1">
      <c r="E991" s="2"/>
    </row>
    <row r="992" ht="12.75" customHeight="1">
      <c r="E992" s="2"/>
    </row>
    <row r="993" ht="12.75" customHeight="1">
      <c r="E993" s="2"/>
    </row>
    <row r="994" ht="12.75" customHeight="1">
      <c r="E994" s="2"/>
    </row>
    <row r="995" ht="12.75" customHeight="1">
      <c r="E995" s="2"/>
    </row>
    <row r="996" ht="12.75" customHeight="1">
      <c r="E996" s="2"/>
    </row>
    <row r="997" ht="12.75" customHeight="1">
      <c r="E997" s="2"/>
    </row>
    <row r="998" ht="12.75" customHeight="1">
      <c r="E998" s="2"/>
    </row>
    <row r="999" ht="12.75" customHeight="1">
      <c r="E999" s="2"/>
    </row>
    <row r="1000" ht="12.75" customHeight="1">
      <c r="E1000" s="2"/>
    </row>
  </sheetData>
  <mergeCells count="4">
    <mergeCell ref="D2:H2"/>
    <mergeCell ref="A5:J5"/>
    <mergeCell ref="A13:J13"/>
    <mergeCell ref="A15:J15"/>
  </mergeCells>
  <conditionalFormatting sqref="E1:E1000 F8:F10">
    <cfRule type="notContainsBlanks" dxfId="0" priority="1">
      <formula>LEN(TRIM(E1))&gt;0</formula>
    </cfRule>
  </conditionalFormatting>
  <conditionalFormatting sqref="G8:G10">
    <cfRule type="notContainsBlanks" dxfId="0" priority="2">
      <formula>LEN(TRIM(G8))&gt;0</formula>
    </cfRule>
  </conditionalFormatting>
  <conditionalFormatting sqref="H8:H10">
    <cfRule type="notContainsBlanks" dxfId="0" priority="3">
      <formula>LEN(TRIM(H8))&gt;0</formula>
    </cfRule>
  </conditionalFormatting>
  <hyperlinks>
    <hyperlink r:id="rId1" ref="C9"/>
    <hyperlink r:id="rId2" ref="C10"/>
  </hyperlinks>
  <printOptions/>
  <pageMargins bottom="0.75" footer="0.0" header="0.0" left="0.7" right="0.7" top="0.75"/>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35.5"/>
    <col customWidth="1" min="11" max="26" width="10.0"/>
  </cols>
  <sheetData>
    <row r="1" ht="12.75" customHeight="1"/>
    <row r="2" ht="27.75" customHeight="1">
      <c r="D2" s="3" t="s">
        <v>0</v>
      </c>
    </row>
    <row r="3" ht="12.75" customHeight="1"/>
    <row r="4" ht="12.75" customHeight="1"/>
    <row r="5" ht="43.5" customHeight="1">
      <c r="A5" s="4" t="s">
        <v>1</v>
      </c>
      <c r="B5" s="5"/>
      <c r="C5" s="5"/>
      <c r="D5" s="5"/>
      <c r="E5" s="5"/>
      <c r="F5" s="5"/>
      <c r="G5" s="5"/>
      <c r="H5" s="5"/>
      <c r="I5" s="5"/>
      <c r="J5" s="6"/>
    </row>
    <row r="6" ht="15.75" customHeight="1"/>
    <row r="7" ht="75.75" customHeight="1">
      <c r="A7" s="7" t="s">
        <v>2</v>
      </c>
      <c r="B7" s="8" t="s">
        <v>70</v>
      </c>
      <c r="C7" s="8" t="s">
        <v>71</v>
      </c>
      <c r="D7" s="8" t="s">
        <v>72</v>
      </c>
      <c r="E7" s="8" t="s">
        <v>73</v>
      </c>
      <c r="F7" s="10" t="s">
        <v>74</v>
      </c>
      <c r="G7" s="11" t="s">
        <v>75</v>
      </c>
      <c r="H7" s="12" t="s">
        <v>9</v>
      </c>
      <c r="I7" s="8" t="s">
        <v>76</v>
      </c>
      <c r="J7" s="8" t="s">
        <v>77</v>
      </c>
      <c r="K7" s="13"/>
      <c r="L7" s="13"/>
      <c r="M7" s="13"/>
      <c r="N7" s="13"/>
      <c r="O7" s="13"/>
      <c r="P7" s="13"/>
      <c r="Q7" s="13"/>
      <c r="R7" s="13"/>
      <c r="S7" s="13"/>
      <c r="T7" s="13"/>
      <c r="U7" s="13"/>
      <c r="V7" s="13"/>
      <c r="W7" s="13"/>
      <c r="X7" s="13"/>
      <c r="Y7" s="13"/>
      <c r="Z7" s="13"/>
    </row>
    <row r="8" ht="240.75" customHeight="1">
      <c r="A8" s="14" t="s">
        <v>12</v>
      </c>
      <c r="B8" s="15" t="s">
        <v>38</v>
      </c>
      <c r="C8" s="16" t="s">
        <v>78</v>
      </c>
      <c r="D8" s="15" t="s">
        <v>79</v>
      </c>
      <c r="E8" s="44">
        <v>2239039.0</v>
      </c>
      <c r="F8" s="44">
        <f t="shared" ref="F8:F10" si="1">E8*19%</f>
        <v>425417.41</v>
      </c>
      <c r="G8" s="45">
        <f t="shared" ref="G8:G10" si="2">E8/446620</f>
        <v>5.013297658</v>
      </c>
      <c r="H8" s="45">
        <f t="shared" ref="H8:H10" si="3">F8/G8</f>
        <v>84857.8</v>
      </c>
      <c r="I8" s="15" t="s">
        <v>16</v>
      </c>
      <c r="J8" s="25" t="s">
        <v>80</v>
      </c>
    </row>
    <row r="9" ht="178.5" customHeight="1">
      <c r="A9" s="14" t="s">
        <v>18</v>
      </c>
      <c r="B9" s="15" t="s">
        <v>81</v>
      </c>
      <c r="C9" s="46" t="s">
        <v>82</v>
      </c>
      <c r="D9" s="15" t="s">
        <v>83</v>
      </c>
      <c r="E9" s="44">
        <v>2200000.0</v>
      </c>
      <c r="F9" s="44">
        <f t="shared" si="1"/>
        <v>418000</v>
      </c>
      <c r="G9" s="45">
        <f t="shared" si="2"/>
        <v>4.925887779</v>
      </c>
      <c r="H9" s="45">
        <f t="shared" si="3"/>
        <v>84857.8</v>
      </c>
      <c r="I9" s="15" t="s">
        <v>16</v>
      </c>
      <c r="J9" s="25" t="s">
        <v>84</v>
      </c>
    </row>
    <row r="10" ht="261.75" customHeight="1">
      <c r="A10" s="14" t="s">
        <v>23</v>
      </c>
      <c r="B10" s="47" t="s">
        <v>13</v>
      </c>
      <c r="C10" s="16" t="s">
        <v>85</v>
      </c>
      <c r="D10" s="15" t="s">
        <v>86</v>
      </c>
      <c r="E10" s="44">
        <v>2719900.0</v>
      </c>
      <c r="F10" s="44">
        <f t="shared" si="1"/>
        <v>516781</v>
      </c>
      <c r="G10" s="45">
        <f t="shared" si="2"/>
        <v>6.089964623</v>
      </c>
      <c r="H10" s="45">
        <f t="shared" si="3"/>
        <v>84857.8</v>
      </c>
      <c r="I10" s="15" t="s">
        <v>16</v>
      </c>
      <c r="J10" s="25" t="s">
        <v>87</v>
      </c>
    </row>
    <row r="11" ht="15.0" hidden="1" customHeight="1">
      <c r="A11" s="24"/>
      <c r="B11" s="25"/>
      <c r="C11" s="25"/>
      <c r="D11" s="25"/>
      <c r="E11" s="25"/>
      <c r="F11" s="25"/>
      <c r="G11" s="25"/>
      <c r="H11" s="25"/>
      <c r="I11" s="25"/>
      <c r="J11" s="25"/>
    </row>
    <row r="12" ht="12.75" customHeight="1"/>
    <row r="13" ht="138.75" customHeight="1">
      <c r="A13" s="48"/>
      <c r="B13" s="5"/>
      <c r="C13" s="5"/>
      <c r="D13" s="5"/>
      <c r="E13" s="5"/>
      <c r="F13" s="5"/>
      <c r="G13" s="5"/>
      <c r="H13" s="5"/>
      <c r="I13" s="5"/>
      <c r="J13" s="6"/>
    </row>
    <row r="14" ht="12.75" customHeight="1"/>
    <row r="15" ht="75.0" customHeight="1">
      <c r="A15" s="28" t="s">
        <v>88</v>
      </c>
      <c r="B15" s="5"/>
      <c r="C15" s="5"/>
      <c r="D15" s="5"/>
      <c r="E15" s="5"/>
      <c r="F15" s="5"/>
      <c r="G15" s="5"/>
      <c r="H15" s="5"/>
      <c r="I15" s="5"/>
      <c r="J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9"/>
      <c r="E26" s="29"/>
      <c r="F26" s="31"/>
      <c r="G26" s="3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location="polycard_client=search-nordic&amp;search_layout=grid&amp;position=1&amp;type=product&amp;tracking_id=25242783-19ef-467b-b144-e4d67f53cb86&amp;wid=MCO3156419276&amp;sid=search" ref="C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72.88"/>
    <col customWidth="1" min="11" max="26" width="10.0"/>
  </cols>
  <sheetData>
    <row r="1" ht="12.75" customHeight="1"/>
    <row r="2" ht="27.75" customHeight="1">
      <c r="D2" s="3" t="s">
        <v>0</v>
      </c>
    </row>
    <row r="3" ht="12.75" customHeight="1"/>
    <row r="4" ht="12.75" customHeight="1"/>
    <row r="5" ht="43.5" customHeight="1">
      <c r="A5" s="4" t="s">
        <v>1</v>
      </c>
      <c r="B5" s="5"/>
      <c r="C5" s="5"/>
      <c r="D5" s="5"/>
      <c r="E5" s="5"/>
      <c r="F5" s="5"/>
      <c r="G5" s="5"/>
      <c r="H5" s="5"/>
      <c r="I5" s="5"/>
      <c r="J5" s="6"/>
    </row>
    <row r="6" ht="15.75" customHeight="1"/>
    <row r="7" ht="55.5" customHeight="1">
      <c r="A7" s="7" t="s">
        <v>2</v>
      </c>
      <c r="B7" s="8" t="s">
        <v>89</v>
      </c>
      <c r="C7" s="8" t="s">
        <v>90</v>
      </c>
      <c r="D7" s="8" t="s">
        <v>91</v>
      </c>
      <c r="E7" s="8" t="s">
        <v>92</v>
      </c>
      <c r="F7" s="10" t="s">
        <v>93</v>
      </c>
      <c r="G7" s="11" t="s">
        <v>94</v>
      </c>
      <c r="H7" s="12" t="s">
        <v>9</v>
      </c>
      <c r="I7" s="8" t="s">
        <v>95</v>
      </c>
      <c r="J7" s="8" t="s">
        <v>96</v>
      </c>
      <c r="K7" s="13"/>
      <c r="L7" s="13"/>
      <c r="M7" s="13"/>
      <c r="N7" s="13"/>
      <c r="O7" s="13"/>
      <c r="P7" s="13"/>
      <c r="Q7" s="13"/>
      <c r="R7" s="13"/>
      <c r="S7" s="13"/>
      <c r="T7" s="13"/>
      <c r="U7" s="13"/>
      <c r="V7" s="13"/>
      <c r="W7" s="13"/>
      <c r="X7" s="13"/>
      <c r="Y7" s="13"/>
      <c r="Z7" s="13"/>
    </row>
    <row r="8" ht="88.5" customHeight="1">
      <c r="A8" s="14" t="s">
        <v>12</v>
      </c>
      <c r="B8" s="15" t="s">
        <v>97</v>
      </c>
      <c r="C8" s="16" t="s">
        <v>98</v>
      </c>
      <c r="D8" s="15" t="s">
        <v>99</v>
      </c>
      <c r="E8" s="44">
        <v>3464920.0</v>
      </c>
      <c r="F8" s="44">
        <f t="shared" ref="F8:F10" si="1">E8*19%</f>
        <v>658334.8</v>
      </c>
      <c r="G8" s="45">
        <f t="shared" ref="G8:G10" si="2">E8/446620</f>
        <v>7.758094129</v>
      </c>
      <c r="H8" s="45">
        <f t="shared" ref="H8:H10" si="3">F8/G8</f>
        <v>84857.8</v>
      </c>
      <c r="I8" s="15" t="s">
        <v>16</v>
      </c>
      <c r="J8" s="15" t="s">
        <v>100</v>
      </c>
    </row>
    <row r="9" ht="211.5" customHeight="1">
      <c r="A9" s="14" t="s">
        <v>18</v>
      </c>
      <c r="B9" s="15" t="s">
        <v>38</v>
      </c>
      <c r="C9" s="16" t="s">
        <v>101</v>
      </c>
      <c r="D9" s="15" t="s">
        <v>102</v>
      </c>
      <c r="E9" s="44">
        <v>3999070.0</v>
      </c>
      <c r="F9" s="44">
        <f t="shared" si="1"/>
        <v>759823.3</v>
      </c>
      <c r="G9" s="45">
        <f t="shared" si="2"/>
        <v>8.954077292</v>
      </c>
      <c r="H9" s="45">
        <f t="shared" si="3"/>
        <v>84857.8</v>
      </c>
      <c r="I9" s="15" t="s">
        <v>16</v>
      </c>
      <c r="J9" s="15" t="s">
        <v>103</v>
      </c>
      <c r="K9" s="49"/>
      <c r="L9" s="49"/>
      <c r="M9" s="49"/>
      <c r="N9" s="49"/>
      <c r="O9" s="49"/>
      <c r="P9" s="49"/>
      <c r="Q9" s="49"/>
      <c r="R9" s="49"/>
      <c r="S9" s="49"/>
      <c r="T9" s="49"/>
      <c r="U9" s="49"/>
      <c r="V9" s="49"/>
      <c r="W9" s="49"/>
      <c r="X9" s="49"/>
      <c r="Y9" s="49"/>
      <c r="Z9" s="49"/>
    </row>
    <row r="10" ht="309.0" customHeight="1">
      <c r="A10" s="14" t="s">
        <v>23</v>
      </c>
      <c r="B10" s="15" t="s">
        <v>38</v>
      </c>
      <c r="C10" s="16" t="s">
        <v>104</v>
      </c>
      <c r="D10" s="15" t="s">
        <v>102</v>
      </c>
      <c r="E10" s="44">
        <v>3799070.0</v>
      </c>
      <c r="F10" s="44">
        <f t="shared" si="1"/>
        <v>721823.3</v>
      </c>
      <c r="G10" s="45">
        <f t="shared" si="2"/>
        <v>8.506269312</v>
      </c>
      <c r="H10" s="45">
        <f t="shared" si="3"/>
        <v>84857.8</v>
      </c>
      <c r="I10" s="15" t="s">
        <v>16</v>
      </c>
      <c r="J10" s="21" t="s">
        <v>105</v>
      </c>
      <c r="K10" s="50"/>
      <c r="L10" s="50"/>
      <c r="M10" s="50"/>
      <c r="N10" s="50"/>
      <c r="O10" s="50"/>
      <c r="P10" s="50"/>
      <c r="Q10" s="50"/>
      <c r="R10" s="50"/>
      <c r="S10" s="50"/>
      <c r="T10" s="50"/>
      <c r="U10" s="50"/>
      <c r="V10" s="50"/>
      <c r="W10" s="50"/>
      <c r="X10" s="50"/>
      <c r="Y10" s="50"/>
      <c r="Z10" s="50"/>
    </row>
    <row r="11" ht="63.75" customHeight="1">
      <c r="A11" s="24"/>
      <c r="B11" s="25"/>
      <c r="C11" s="25"/>
      <c r="D11" s="25"/>
      <c r="E11" s="25"/>
      <c r="F11" s="25"/>
      <c r="G11" s="44"/>
      <c r="H11" s="25"/>
      <c r="I11" s="25"/>
      <c r="J11" s="25"/>
    </row>
    <row r="12" ht="12.75" customHeight="1"/>
    <row r="13" ht="138.75" customHeight="1">
      <c r="A13" s="28" t="s">
        <v>106</v>
      </c>
      <c r="B13" s="5"/>
      <c r="C13" s="5"/>
      <c r="D13" s="5"/>
      <c r="E13" s="5"/>
      <c r="F13" s="5"/>
      <c r="G13" s="5"/>
      <c r="H13" s="5"/>
      <c r="I13" s="5"/>
      <c r="J13" s="6"/>
    </row>
    <row r="14" ht="12.75" customHeight="1"/>
    <row r="15" ht="75.0" customHeight="1">
      <c r="A15" s="28" t="s">
        <v>107</v>
      </c>
      <c r="B15" s="5"/>
      <c r="C15" s="5"/>
      <c r="D15" s="5"/>
      <c r="E15" s="5"/>
      <c r="F15" s="5"/>
      <c r="G15" s="5"/>
      <c r="H15" s="5"/>
      <c r="I15" s="5"/>
      <c r="J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9"/>
      <c r="E26" s="29"/>
      <c r="F26" s="31"/>
      <c r="G26" s="3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50.88"/>
    <col customWidth="1" min="4" max="4" width="21.88"/>
    <col customWidth="1" min="5" max="6" width="17.0"/>
    <col customWidth="1" min="7" max="7" width="18.0"/>
    <col customWidth="1" min="8" max="8" width="17.0"/>
    <col customWidth="1" min="9" max="9" width="19.13"/>
    <col customWidth="1" min="10" max="10" width="88.88"/>
    <col customWidth="1" min="11" max="26" width="10.0"/>
  </cols>
  <sheetData>
    <row r="1" ht="12.75" customHeight="1"/>
    <row r="2" ht="27.75" customHeight="1">
      <c r="D2" s="3" t="s">
        <v>0</v>
      </c>
    </row>
    <row r="3" ht="12.75" customHeight="1"/>
    <row r="4" ht="12.75" customHeight="1"/>
    <row r="5" ht="43.5" customHeight="1">
      <c r="A5" s="4" t="s">
        <v>1</v>
      </c>
      <c r="B5" s="5"/>
      <c r="C5" s="5"/>
      <c r="D5" s="5"/>
      <c r="E5" s="5"/>
      <c r="F5" s="5"/>
      <c r="G5" s="5"/>
      <c r="H5" s="5"/>
      <c r="I5" s="5"/>
      <c r="J5" s="6"/>
    </row>
    <row r="6" ht="15.75" customHeight="1"/>
    <row r="7" ht="75.75" customHeight="1">
      <c r="A7" s="51" t="s">
        <v>2</v>
      </c>
      <c r="B7" s="52" t="s">
        <v>108</v>
      </c>
      <c r="C7" s="52" t="s">
        <v>109</v>
      </c>
      <c r="D7" s="52" t="s">
        <v>110</v>
      </c>
      <c r="E7" s="52" t="s">
        <v>111</v>
      </c>
      <c r="F7" s="53" t="s">
        <v>112</v>
      </c>
      <c r="G7" s="54" t="s">
        <v>113</v>
      </c>
      <c r="H7" s="55" t="s">
        <v>9</v>
      </c>
      <c r="I7" s="52" t="s">
        <v>114</v>
      </c>
      <c r="J7" s="52" t="s">
        <v>115</v>
      </c>
      <c r="K7" s="13"/>
      <c r="L7" s="13"/>
      <c r="M7" s="13"/>
      <c r="N7" s="13"/>
      <c r="O7" s="13"/>
      <c r="P7" s="13"/>
      <c r="Q7" s="13"/>
      <c r="R7" s="13"/>
      <c r="S7" s="13"/>
      <c r="T7" s="13"/>
      <c r="U7" s="13"/>
      <c r="V7" s="13"/>
      <c r="W7" s="13"/>
      <c r="X7" s="13"/>
      <c r="Y7" s="13"/>
      <c r="Z7" s="13"/>
    </row>
    <row r="8" ht="162.75" customHeight="1">
      <c r="A8" s="56" t="s">
        <v>12</v>
      </c>
      <c r="B8" s="57" t="s">
        <v>13</v>
      </c>
      <c r="C8" s="16" t="s">
        <v>116</v>
      </c>
      <c r="D8" s="57" t="s">
        <v>117</v>
      </c>
      <c r="E8" s="58">
        <v>1400000.0</v>
      </c>
      <c r="F8" s="58">
        <f t="shared" ref="F8:F10" si="1">E8*19%</f>
        <v>266000</v>
      </c>
      <c r="G8" s="59">
        <f t="shared" ref="G8:G10" si="2">E8/446620</f>
        <v>3.13465586</v>
      </c>
      <c r="H8" s="59">
        <f t="shared" ref="H8:H10" si="3">F8/G8</f>
        <v>84857.8</v>
      </c>
      <c r="I8" s="57" t="s">
        <v>16</v>
      </c>
      <c r="J8" s="57" t="s">
        <v>118</v>
      </c>
    </row>
    <row r="9" ht="221.25" customHeight="1">
      <c r="A9" s="56" t="s">
        <v>18</v>
      </c>
      <c r="B9" s="57" t="s">
        <v>13</v>
      </c>
      <c r="C9" s="16" t="s">
        <v>119</v>
      </c>
      <c r="D9" s="60" t="s">
        <v>120</v>
      </c>
      <c r="E9" s="58">
        <v>3100000.0</v>
      </c>
      <c r="F9" s="58">
        <f t="shared" si="1"/>
        <v>589000</v>
      </c>
      <c r="G9" s="59">
        <f t="shared" si="2"/>
        <v>6.941023689</v>
      </c>
      <c r="H9" s="59">
        <f t="shared" si="3"/>
        <v>84857.8</v>
      </c>
      <c r="I9" s="57" t="s">
        <v>16</v>
      </c>
      <c r="J9" s="57" t="s">
        <v>121</v>
      </c>
    </row>
    <row r="10" ht="192.75" customHeight="1">
      <c r="A10" s="56" t="s">
        <v>23</v>
      </c>
      <c r="B10" s="57" t="s">
        <v>122</v>
      </c>
      <c r="C10" s="61" t="s">
        <v>123</v>
      </c>
      <c r="D10" s="57" t="s">
        <v>124</v>
      </c>
      <c r="E10" s="58">
        <v>4299000.0</v>
      </c>
      <c r="F10" s="58">
        <f t="shared" si="1"/>
        <v>816810</v>
      </c>
      <c r="G10" s="59">
        <f t="shared" si="2"/>
        <v>9.625632529</v>
      </c>
      <c r="H10" s="59">
        <f t="shared" si="3"/>
        <v>84857.8</v>
      </c>
      <c r="I10" s="57" t="s">
        <v>16</v>
      </c>
      <c r="J10" s="57" t="s">
        <v>121</v>
      </c>
    </row>
    <row r="11" ht="15.0" hidden="1" customHeight="1">
      <c r="A11" s="24"/>
      <c r="B11" s="25"/>
      <c r="C11" s="25"/>
      <c r="D11" s="25"/>
      <c r="E11" s="25"/>
      <c r="F11" s="25"/>
      <c r="G11" s="25"/>
      <c r="H11" s="25"/>
      <c r="I11" s="25"/>
      <c r="J11" s="25"/>
    </row>
    <row r="12" ht="12.75" customHeight="1"/>
    <row r="13" ht="138.75" customHeight="1">
      <c r="A13" s="28" t="s">
        <v>125</v>
      </c>
      <c r="B13" s="5"/>
      <c r="C13" s="5"/>
      <c r="D13" s="5"/>
      <c r="E13" s="5"/>
      <c r="F13" s="5"/>
      <c r="G13" s="5"/>
      <c r="H13" s="5"/>
      <c r="I13" s="5"/>
      <c r="J13" s="6"/>
    </row>
    <row r="14" ht="12.75" customHeight="1"/>
    <row r="15" ht="75.0" customHeight="1">
      <c r="A15" s="28" t="s">
        <v>126</v>
      </c>
      <c r="B15" s="5"/>
      <c r="C15" s="5"/>
      <c r="D15" s="5"/>
      <c r="E15" s="5"/>
      <c r="F15" s="5"/>
      <c r="G15" s="5"/>
      <c r="H15" s="5"/>
      <c r="I15" s="5"/>
      <c r="J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9"/>
      <c r="E26" s="29"/>
      <c r="F26" s="31"/>
      <c r="G26" s="3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polycard_client=search-nordic&amp;search_layout=grid&amp;position=3&amp;type=product&amp;tracking_id=a0b86e69-734a-41c0-8e04-9aca1e6b6b88&amp;wid=MCO3292675808&amp;sid=search" ref="C8"/>
    <hyperlink r:id="rId2" ref="C9"/>
    <hyperlink r:id="rId3" ref="C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0.38"/>
    <col customWidth="1" min="4" max="4" width="21.88"/>
    <col customWidth="1" min="5" max="6" width="17.0"/>
    <col customWidth="1" min="7" max="7" width="18.0"/>
    <col customWidth="1" min="8" max="8" width="17.0"/>
    <col customWidth="1" min="9" max="9" width="19.13"/>
    <col customWidth="1" min="10" max="10" width="31.5"/>
    <col customWidth="1" min="11" max="26" width="10.0"/>
  </cols>
  <sheetData>
    <row r="1" ht="12.75" customHeight="1"/>
    <row r="2" ht="27.75" customHeight="1">
      <c r="D2" s="3" t="s">
        <v>0</v>
      </c>
    </row>
    <row r="3" ht="12.75" customHeight="1"/>
    <row r="4" ht="12.75" customHeight="1"/>
    <row r="5" ht="43.5" customHeight="1">
      <c r="A5" s="4" t="s">
        <v>1</v>
      </c>
      <c r="B5" s="5"/>
      <c r="C5" s="5"/>
      <c r="D5" s="5"/>
      <c r="E5" s="5"/>
      <c r="F5" s="5"/>
      <c r="G5" s="5"/>
      <c r="H5" s="5"/>
      <c r="I5" s="5"/>
      <c r="J5" s="6"/>
    </row>
    <row r="6" ht="15.75" customHeight="1"/>
    <row r="7" ht="75.75" customHeight="1">
      <c r="A7" s="7" t="s">
        <v>2</v>
      </c>
      <c r="B7" s="8" t="s">
        <v>127</v>
      </c>
      <c r="C7" s="8" t="s">
        <v>128</v>
      </c>
      <c r="D7" s="8" t="s">
        <v>129</v>
      </c>
      <c r="E7" s="8" t="s">
        <v>130</v>
      </c>
      <c r="F7" s="10" t="s">
        <v>131</v>
      </c>
      <c r="G7" s="11" t="s">
        <v>132</v>
      </c>
      <c r="H7" s="12" t="s">
        <v>9</v>
      </c>
      <c r="I7" s="8" t="s">
        <v>133</v>
      </c>
      <c r="J7" s="8" t="s">
        <v>134</v>
      </c>
      <c r="K7" s="13"/>
      <c r="L7" s="13"/>
      <c r="M7" s="13"/>
      <c r="N7" s="13"/>
      <c r="O7" s="13"/>
      <c r="P7" s="13"/>
      <c r="Q7" s="13"/>
      <c r="R7" s="13"/>
      <c r="S7" s="13"/>
      <c r="T7" s="13"/>
      <c r="U7" s="13"/>
      <c r="V7" s="13"/>
      <c r="W7" s="13"/>
      <c r="X7" s="13"/>
      <c r="Y7" s="13"/>
      <c r="Z7" s="13"/>
    </row>
    <row r="8" ht="128.25" customHeight="1">
      <c r="A8" s="14" t="s">
        <v>12</v>
      </c>
      <c r="B8" s="15" t="s">
        <v>135</v>
      </c>
      <c r="C8" s="61" t="s">
        <v>136</v>
      </c>
      <c r="D8" s="15" t="s">
        <v>137</v>
      </c>
      <c r="E8" s="44">
        <v>252100.84</v>
      </c>
      <c r="F8" s="44">
        <f t="shared" ref="F8:F10" si="1">E8*19%</f>
        <v>47899.1596</v>
      </c>
      <c r="G8" s="62">
        <f t="shared" ref="G8:G10" si="2">E8+F8</f>
        <v>299999.9996</v>
      </c>
      <c r="H8" s="62">
        <f t="shared" ref="H8:H10" si="3">G8</f>
        <v>299999.9996</v>
      </c>
      <c r="I8" s="15" t="s">
        <v>16</v>
      </c>
      <c r="J8" s="15" t="s">
        <v>138</v>
      </c>
    </row>
    <row r="9" ht="171.75" customHeight="1">
      <c r="A9" s="14" t="s">
        <v>18</v>
      </c>
      <c r="B9" s="15" t="s">
        <v>139</v>
      </c>
      <c r="C9" s="16" t="s">
        <v>140</v>
      </c>
      <c r="D9" s="15" t="s">
        <v>137</v>
      </c>
      <c r="E9" s="44">
        <v>10496.64</v>
      </c>
      <c r="F9" s="44">
        <f t="shared" si="1"/>
        <v>1994.3616</v>
      </c>
      <c r="G9" s="62">
        <f t="shared" si="2"/>
        <v>12491.0016</v>
      </c>
      <c r="H9" s="62">
        <f t="shared" si="3"/>
        <v>12491.0016</v>
      </c>
      <c r="I9" s="15" t="s">
        <v>16</v>
      </c>
      <c r="J9" s="15" t="s">
        <v>141</v>
      </c>
    </row>
    <row r="10" ht="169.5" customHeight="1">
      <c r="A10" s="14" t="s">
        <v>23</v>
      </c>
      <c r="B10" s="15" t="s">
        <v>142</v>
      </c>
      <c r="C10" s="46" t="s">
        <v>143</v>
      </c>
      <c r="D10" s="15" t="s">
        <v>137</v>
      </c>
      <c r="E10" s="44">
        <v>21000.0</v>
      </c>
      <c r="F10" s="44">
        <f t="shared" si="1"/>
        <v>3990</v>
      </c>
      <c r="G10" s="62">
        <f t="shared" si="2"/>
        <v>24990</v>
      </c>
      <c r="H10" s="62">
        <f t="shared" si="3"/>
        <v>24990</v>
      </c>
      <c r="I10" s="15" t="s">
        <v>16</v>
      </c>
      <c r="J10" s="15" t="s">
        <v>144</v>
      </c>
    </row>
    <row r="11">
      <c r="A11" s="63"/>
      <c r="B11" s="64"/>
      <c r="C11" s="65"/>
      <c r="D11" s="64"/>
      <c r="E11" s="66"/>
      <c r="F11" s="66"/>
      <c r="G11" s="67"/>
      <c r="H11" s="67"/>
      <c r="I11" s="64"/>
      <c r="J11" s="64"/>
    </row>
    <row r="12" ht="15.0" hidden="1" customHeight="1">
      <c r="A12" s="68"/>
      <c r="B12" s="69"/>
      <c r="C12" s="69"/>
      <c r="D12" s="69"/>
      <c r="E12" s="69"/>
      <c r="F12" s="69"/>
      <c r="G12" s="69"/>
      <c r="H12" s="69"/>
      <c r="I12" s="69"/>
      <c r="J12" s="69"/>
    </row>
    <row r="13" ht="138.75" customHeight="1">
      <c r="A13" s="28" t="s">
        <v>145</v>
      </c>
      <c r="B13" s="5"/>
      <c r="C13" s="5"/>
      <c r="D13" s="5"/>
      <c r="E13" s="5"/>
      <c r="F13" s="5"/>
      <c r="G13" s="5"/>
      <c r="H13" s="5"/>
      <c r="I13" s="5"/>
      <c r="J13" s="6"/>
    </row>
    <row r="14" ht="12.75" customHeight="1"/>
    <row r="15" ht="12.75" customHeight="1"/>
    <row r="16" ht="75.0" customHeight="1">
      <c r="A16" s="28" t="s">
        <v>146</v>
      </c>
      <c r="B16" s="5"/>
      <c r="C16" s="5"/>
      <c r="D16" s="5"/>
      <c r="E16" s="5"/>
      <c r="F16" s="5"/>
      <c r="G16" s="5"/>
      <c r="H16" s="5"/>
      <c r="I16" s="5"/>
      <c r="J16" s="6"/>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c r="D27" s="29"/>
      <c r="E27" s="29"/>
      <c r="F27" s="31"/>
      <c r="G27" s="31"/>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4">
    <mergeCell ref="D2:H2"/>
    <mergeCell ref="A5:J5"/>
    <mergeCell ref="A13:J13"/>
    <mergeCell ref="A16:J16"/>
  </mergeCells>
  <hyperlinks>
    <hyperlink r:id="rId1" ref="C8"/>
    <hyperlink r:id="rId2" ref="C9"/>
    <hyperlink r:id="rId3" location="/26-version-office_2019" ref="C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5.13"/>
    <col customWidth="1" min="2" max="2" width="17.0"/>
    <col customWidth="1" min="3" max="3" width="16.5"/>
    <col customWidth="1" min="4" max="4" width="18.88"/>
    <col customWidth="1" min="5" max="5" width="12.5"/>
    <col customWidth="1" min="6" max="6" width="16.13"/>
    <col customWidth="1" min="7" max="9" width="12.5"/>
    <col customWidth="1" min="10" max="10" width="51.38"/>
    <col customWidth="1" min="11" max="26" width="12.5"/>
  </cols>
  <sheetData>
    <row r="1">
      <c r="A1" s="49"/>
      <c r="B1" s="49"/>
      <c r="C1" s="49"/>
      <c r="D1" s="49"/>
      <c r="E1" s="49"/>
      <c r="F1" s="49"/>
      <c r="G1" s="49"/>
      <c r="H1" s="49"/>
      <c r="I1" s="49"/>
      <c r="J1" s="49"/>
    </row>
    <row r="2">
      <c r="A2" s="49"/>
      <c r="B2" s="49"/>
      <c r="C2" s="49"/>
      <c r="D2" s="70" t="s">
        <v>0</v>
      </c>
      <c r="I2" s="49"/>
      <c r="J2" s="49"/>
    </row>
    <row r="3">
      <c r="A3" s="49"/>
      <c r="B3" s="49"/>
      <c r="C3" s="49"/>
      <c r="D3" s="49"/>
      <c r="E3" s="49"/>
      <c r="F3" s="49"/>
      <c r="G3" s="49"/>
      <c r="H3" s="49"/>
      <c r="I3" s="49"/>
      <c r="J3" s="49"/>
    </row>
    <row r="4">
      <c r="A4" s="49"/>
      <c r="B4" s="49"/>
      <c r="C4" s="49"/>
      <c r="D4" s="49"/>
      <c r="E4" s="49"/>
      <c r="F4" s="49"/>
      <c r="G4" s="49"/>
      <c r="H4" s="49"/>
      <c r="I4" s="49"/>
      <c r="J4" s="49"/>
    </row>
    <row r="5">
      <c r="A5" s="71" t="s">
        <v>147</v>
      </c>
      <c r="B5" s="5"/>
      <c r="C5" s="5"/>
      <c r="D5" s="5"/>
      <c r="E5" s="5"/>
      <c r="F5" s="5"/>
      <c r="G5" s="5"/>
      <c r="H5" s="5"/>
      <c r="I5" s="5"/>
      <c r="J5" s="72"/>
    </row>
    <row r="6">
      <c r="A6" s="49"/>
      <c r="B6" s="49"/>
      <c r="C6" s="49"/>
      <c r="D6" s="49"/>
      <c r="E6" s="49"/>
      <c r="F6" s="49"/>
      <c r="G6" s="49"/>
      <c r="H6" s="49"/>
      <c r="I6" s="49"/>
      <c r="J6" s="49"/>
    </row>
    <row r="7" ht="91.5" customHeight="1">
      <c r="A7" s="73" t="s">
        <v>148</v>
      </c>
      <c r="B7" s="74" t="s">
        <v>149</v>
      </c>
      <c r="C7" s="74" t="s">
        <v>150</v>
      </c>
      <c r="D7" s="74" t="s">
        <v>151</v>
      </c>
      <c r="E7" s="74" t="s">
        <v>152</v>
      </c>
      <c r="F7" s="75" t="s">
        <v>153</v>
      </c>
      <c r="G7" s="76" t="s">
        <v>154</v>
      </c>
      <c r="H7" s="77" t="s">
        <v>9</v>
      </c>
      <c r="I7" s="74" t="s">
        <v>155</v>
      </c>
      <c r="J7" s="74" t="s">
        <v>156</v>
      </c>
    </row>
    <row r="8" ht="194.25" customHeight="1">
      <c r="A8" s="78" t="s">
        <v>12</v>
      </c>
      <c r="B8" s="79" t="s">
        <v>157</v>
      </c>
      <c r="C8" s="80" t="s">
        <v>158</v>
      </c>
      <c r="D8" s="79" t="s">
        <v>159</v>
      </c>
      <c r="E8" s="81">
        <v>60990.0</v>
      </c>
      <c r="F8" s="82">
        <f t="shared" ref="F8:F10" si="1">E8*19%</f>
        <v>11588.1</v>
      </c>
      <c r="G8" s="83">
        <f t="shared" ref="G8:G10" si="2">E8/446620</f>
        <v>0.1365590435</v>
      </c>
      <c r="H8" s="84">
        <f>F8/G8</f>
        <v>84857.8</v>
      </c>
      <c r="I8" s="82" t="s">
        <v>16</v>
      </c>
      <c r="J8" s="85" t="s">
        <v>160</v>
      </c>
    </row>
    <row r="9" ht="111.0" customHeight="1">
      <c r="A9" s="78" t="s">
        <v>161</v>
      </c>
      <c r="B9" s="86" t="s">
        <v>162</v>
      </c>
      <c r="C9" s="16" t="s">
        <v>163</v>
      </c>
      <c r="D9" s="85" t="s">
        <v>159</v>
      </c>
      <c r="E9" s="82">
        <v>450000.0</v>
      </c>
      <c r="F9" s="82">
        <f t="shared" si="1"/>
        <v>85500</v>
      </c>
      <c r="G9" s="83">
        <f t="shared" si="2"/>
        <v>1.007567955</v>
      </c>
      <c r="H9" s="82">
        <f>F8/G8</f>
        <v>84857.8</v>
      </c>
      <c r="I9" s="82" t="s">
        <v>16</v>
      </c>
      <c r="J9" s="79" t="s">
        <v>164</v>
      </c>
    </row>
    <row r="10" ht="237.0" customHeight="1">
      <c r="A10" s="78" t="s">
        <v>23</v>
      </c>
      <c r="B10" s="79" t="s">
        <v>165</v>
      </c>
      <c r="C10" s="87" t="s">
        <v>166</v>
      </c>
      <c r="D10" s="79" t="s">
        <v>159</v>
      </c>
      <c r="E10" s="82">
        <v>651589.0</v>
      </c>
      <c r="F10" s="82">
        <f t="shared" si="1"/>
        <v>123801.91</v>
      </c>
      <c r="G10" s="82">
        <f t="shared" si="2"/>
        <v>1.458933769</v>
      </c>
      <c r="H10" s="82">
        <f>F10/G10</f>
        <v>84857.8</v>
      </c>
      <c r="I10" s="82" t="s">
        <v>16</v>
      </c>
      <c r="J10" s="79" t="s">
        <v>167</v>
      </c>
    </row>
    <row r="11">
      <c r="A11" s="88"/>
      <c r="B11" s="89"/>
      <c r="C11" s="89"/>
      <c r="D11" s="89"/>
      <c r="E11" s="89"/>
      <c r="F11" s="89"/>
      <c r="G11" s="89"/>
      <c r="H11" s="89"/>
      <c r="I11" s="89"/>
      <c r="J11" s="89"/>
    </row>
    <row r="12">
      <c r="A12" s="49"/>
      <c r="B12" s="49"/>
      <c r="C12" s="49"/>
      <c r="D12" s="49"/>
      <c r="E12" s="49"/>
      <c r="F12" s="49"/>
      <c r="G12" s="49"/>
      <c r="H12" s="49"/>
      <c r="I12" s="49"/>
      <c r="J12" s="49"/>
    </row>
    <row r="13">
      <c r="A13" s="90" t="s">
        <v>168</v>
      </c>
      <c r="B13" s="5"/>
      <c r="C13" s="5"/>
      <c r="D13" s="5"/>
      <c r="E13" s="5"/>
      <c r="F13" s="5"/>
      <c r="G13" s="5"/>
      <c r="H13" s="5"/>
      <c r="I13" s="5"/>
      <c r="J13" s="5"/>
    </row>
    <row r="14">
      <c r="A14" s="49"/>
      <c r="B14" s="49"/>
      <c r="C14" s="49"/>
      <c r="D14" s="49"/>
      <c r="E14" s="49"/>
      <c r="F14" s="49"/>
      <c r="G14" s="49"/>
      <c r="H14" s="49"/>
      <c r="I14" s="49"/>
      <c r="J14" s="49"/>
    </row>
    <row r="15">
      <c r="A15" s="90" t="s">
        <v>169</v>
      </c>
      <c r="B15" s="5"/>
      <c r="C15" s="5"/>
      <c r="D15" s="5"/>
      <c r="E15" s="5"/>
      <c r="F15" s="5"/>
      <c r="G15" s="5"/>
      <c r="H15" s="5"/>
      <c r="I15" s="5"/>
      <c r="J15" s="5"/>
    </row>
  </sheetData>
  <mergeCells count="4">
    <mergeCell ref="D2:H2"/>
    <mergeCell ref="A5:J5"/>
    <mergeCell ref="A13:J13"/>
    <mergeCell ref="A15:J15"/>
  </mergeCells>
  <hyperlinks>
    <hyperlink r:id="rId1" location="/28-tipo_de_licencia-1_dispositivo" ref="C8"/>
    <hyperlink r:id="rId2" ref="B9"/>
    <hyperlink r:id="rId3" ref="C9"/>
    <hyperlink r:id="rId4" ref="C10"/>
  </hyperlinks>
  <printOptions/>
  <pageMargins bottom="0.0" footer="0.0" header="0.0" left="0.0" right="0.0" top="0.0"/>
  <pageSetup orientation="landscape"/>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5"/>
    <col customWidth="1" min="3" max="3" width="31.88"/>
    <col customWidth="1" min="4" max="9" width="12.5"/>
    <col customWidth="1" min="10" max="10" width="41.13"/>
    <col customWidth="1" min="11" max="26" width="12.5"/>
  </cols>
  <sheetData>
    <row r="1">
      <c r="A1" s="49"/>
      <c r="B1" s="49"/>
      <c r="C1" s="49"/>
      <c r="D1" s="49"/>
      <c r="E1" s="49"/>
      <c r="F1" s="49"/>
      <c r="G1" s="49"/>
      <c r="H1" s="49"/>
      <c r="I1" s="49"/>
      <c r="J1" s="49"/>
    </row>
    <row r="2">
      <c r="A2" s="49"/>
      <c r="B2" s="49"/>
      <c r="C2" s="49"/>
      <c r="D2" s="70" t="s">
        <v>0</v>
      </c>
      <c r="I2" s="49"/>
      <c r="J2" s="49"/>
    </row>
    <row r="3">
      <c r="A3" s="49"/>
      <c r="B3" s="49"/>
      <c r="C3" s="49"/>
      <c r="D3" s="49"/>
      <c r="E3" s="49"/>
      <c r="F3" s="49"/>
      <c r="G3" s="49"/>
      <c r="H3" s="49"/>
      <c r="I3" s="49"/>
      <c r="J3" s="49"/>
    </row>
    <row r="4">
      <c r="A4" s="49"/>
      <c r="B4" s="49"/>
      <c r="C4" s="49"/>
      <c r="D4" s="49"/>
      <c r="E4" s="49"/>
      <c r="F4" s="49"/>
      <c r="G4" s="49"/>
      <c r="H4" s="49"/>
      <c r="I4" s="49"/>
      <c r="J4" s="49"/>
    </row>
    <row r="5">
      <c r="A5" s="71" t="s">
        <v>147</v>
      </c>
      <c r="B5" s="5"/>
      <c r="C5" s="5"/>
      <c r="D5" s="5"/>
      <c r="E5" s="5"/>
      <c r="F5" s="5"/>
      <c r="G5" s="5"/>
      <c r="H5" s="5"/>
      <c r="I5" s="5"/>
      <c r="J5" s="72"/>
    </row>
    <row r="6">
      <c r="A6" s="49"/>
      <c r="B6" s="49"/>
      <c r="C6" s="49"/>
      <c r="D6" s="49"/>
      <c r="E6" s="49"/>
      <c r="F6" s="49"/>
      <c r="G6" s="49"/>
      <c r="H6" s="49"/>
      <c r="I6" s="49"/>
      <c r="J6" s="49"/>
    </row>
    <row r="7" ht="62.25" customHeight="1">
      <c r="A7" s="73" t="s">
        <v>148</v>
      </c>
      <c r="B7" s="74" t="s">
        <v>149</v>
      </c>
      <c r="C7" s="74" t="s">
        <v>150</v>
      </c>
      <c r="D7" s="74" t="s">
        <v>151</v>
      </c>
      <c r="E7" s="74" t="s">
        <v>152</v>
      </c>
      <c r="F7" s="75" t="s">
        <v>153</v>
      </c>
      <c r="G7" s="76" t="s">
        <v>154</v>
      </c>
      <c r="H7" s="91" t="s">
        <v>9</v>
      </c>
      <c r="I7" s="74" t="s">
        <v>155</v>
      </c>
      <c r="J7" s="74" t="s">
        <v>156</v>
      </c>
    </row>
    <row r="8" ht="120.0" customHeight="1">
      <c r="A8" s="73" t="s">
        <v>12</v>
      </c>
      <c r="B8" s="79" t="s">
        <v>157</v>
      </c>
      <c r="C8" s="92" t="s">
        <v>170</v>
      </c>
      <c r="D8" s="85" t="s">
        <v>171</v>
      </c>
      <c r="E8" s="82">
        <v>321990.0</v>
      </c>
      <c r="F8" s="82">
        <f t="shared" ref="F8:F10" si="1">E8*19%</f>
        <v>61178.1</v>
      </c>
      <c r="G8" s="83">
        <f>E8/446620</f>
        <v>0.7209484573</v>
      </c>
      <c r="H8" s="83">
        <f t="shared" ref="H8:H10" si="2">F8/G8</f>
        <v>84857.8</v>
      </c>
      <c r="I8" s="85" t="s">
        <v>16</v>
      </c>
      <c r="J8" s="85" t="s">
        <v>172</v>
      </c>
    </row>
    <row r="9" ht="120.75" customHeight="1">
      <c r="A9" s="73" t="s">
        <v>161</v>
      </c>
      <c r="B9" s="93" t="s">
        <v>173</v>
      </c>
      <c r="C9" s="92" t="s">
        <v>174</v>
      </c>
      <c r="D9" s="85" t="s">
        <v>171</v>
      </c>
      <c r="E9" s="94">
        <v>72000.0</v>
      </c>
      <c r="F9" s="82">
        <f t="shared" si="1"/>
        <v>13680</v>
      </c>
      <c r="G9" s="95">
        <f t="shared" ref="G9:G10" si="3">E9/446620</f>
        <v>0.1612108728</v>
      </c>
      <c r="H9" s="95">
        <f t="shared" si="2"/>
        <v>84857.8</v>
      </c>
      <c r="I9" s="79" t="s">
        <v>175</v>
      </c>
      <c r="J9" s="96" t="s">
        <v>176</v>
      </c>
    </row>
    <row r="10" ht="82.5" customHeight="1">
      <c r="A10" s="73" t="s">
        <v>23</v>
      </c>
      <c r="B10" s="79" t="s">
        <v>177</v>
      </c>
      <c r="C10" s="97" t="s">
        <v>178</v>
      </c>
      <c r="D10" s="79" t="s">
        <v>171</v>
      </c>
      <c r="E10" s="94">
        <v>440000.0</v>
      </c>
      <c r="F10" s="82">
        <f t="shared" si="1"/>
        <v>83600</v>
      </c>
      <c r="G10" s="95">
        <f t="shared" si="3"/>
        <v>0.9851775559</v>
      </c>
      <c r="H10" s="95">
        <f t="shared" si="2"/>
        <v>84857.8</v>
      </c>
      <c r="I10" s="79" t="s">
        <v>175</v>
      </c>
      <c r="J10" s="96" t="s">
        <v>179</v>
      </c>
    </row>
    <row r="11">
      <c r="A11" s="88"/>
      <c r="B11" s="89"/>
      <c r="C11" s="89"/>
      <c r="D11" s="89"/>
      <c r="E11" s="89"/>
      <c r="F11" s="89"/>
      <c r="G11" s="89"/>
      <c r="H11" s="89"/>
      <c r="I11" s="89"/>
      <c r="J11" s="89"/>
    </row>
    <row r="12">
      <c r="A12" s="49"/>
      <c r="B12" s="49"/>
      <c r="C12" s="49"/>
      <c r="D12" s="49"/>
      <c r="E12" s="49"/>
      <c r="F12" s="49"/>
      <c r="G12" s="49"/>
      <c r="H12" s="49"/>
      <c r="I12" s="49"/>
      <c r="J12" s="49"/>
    </row>
    <row r="13">
      <c r="A13" s="90" t="s">
        <v>168</v>
      </c>
      <c r="B13" s="5"/>
      <c r="C13" s="5"/>
      <c r="D13" s="5"/>
      <c r="E13" s="5"/>
      <c r="F13" s="5"/>
      <c r="G13" s="5"/>
      <c r="H13" s="5"/>
      <c r="I13" s="5"/>
      <c r="J13" s="5"/>
    </row>
    <row r="14">
      <c r="A14" s="49"/>
      <c r="B14" s="49"/>
      <c r="C14" s="49"/>
      <c r="D14" s="49"/>
      <c r="E14" s="49"/>
      <c r="F14" s="49"/>
      <c r="G14" s="49"/>
      <c r="H14" s="49"/>
      <c r="I14" s="49"/>
      <c r="J14" s="49"/>
    </row>
    <row r="15">
      <c r="A15" s="90" t="s">
        <v>169</v>
      </c>
      <c r="B15" s="5"/>
      <c r="C15" s="5"/>
      <c r="D15" s="5"/>
      <c r="E15" s="5"/>
      <c r="F15" s="5"/>
      <c r="G15" s="5"/>
      <c r="H15" s="5"/>
      <c r="I15" s="5"/>
      <c r="J15" s="5"/>
    </row>
  </sheetData>
  <mergeCells count="4">
    <mergeCell ref="D2:H2"/>
    <mergeCell ref="A5:J5"/>
    <mergeCell ref="A13:J13"/>
    <mergeCell ref="A15:J15"/>
  </mergeCells>
  <hyperlinks>
    <hyperlink r:id="rId1" location="/31-tipo_de_licencia-10_dispositivos" ref="C8"/>
    <hyperlink r:id="rId2" ref="C9"/>
    <hyperlink r:id="rId3" ref="C10"/>
  </hyperlinks>
  <printOptions/>
  <pageMargins bottom="0.0" footer="0.0" header="0.0" left="0.0" right="0.0" top="0.0"/>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13"/>
    <col customWidth="1" min="2" max="2" width="12.5"/>
    <col customWidth="1" min="3" max="3" width="44.88"/>
    <col customWidth="1" min="4" max="8" width="12.5"/>
    <col customWidth="1" min="9" max="9" width="13.75"/>
    <col customWidth="1" min="10" max="10" width="54.0"/>
    <col customWidth="1" min="11" max="26" width="12.5"/>
  </cols>
  <sheetData>
    <row r="1">
      <c r="A1" s="49"/>
      <c r="B1" s="49"/>
      <c r="C1" s="49"/>
      <c r="D1" s="49"/>
      <c r="E1" s="49"/>
      <c r="F1" s="49"/>
      <c r="G1" s="49"/>
      <c r="H1" s="49"/>
      <c r="I1" s="49"/>
      <c r="J1" s="49"/>
    </row>
    <row r="2">
      <c r="A2" s="49"/>
      <c r="B2" s="49"/>
      <c r="C2" s="49"/>
      <c r="D2" s="49"/>
      <c r="E2" s="49"/>
      <c r="F2" s="49"/>
      <c r="G2" s="49"/>
      <c r="H2" s="49"/>
      <c r="I2" s="49"/>
      <c r="J2" s="49"/>
    </row>
    <row r="3">
      <c r="A3" s="49"/>
      <c r="B3" s="49"/>
      <c r="C3" s="49"/>
      <c r="D3" s="70" t="s">
        <v>0</v>
      </c>
      <c r="I3" s="49"/>
      <c r="J3" s="49"/>
    </row>
    <row r="4">
      <c r="A4" s="49"/>
      <c r="B4" s="49"/>
      <c r="C4" s="49"/>
      <c r="D4" s="49"/>
      <c r="E4" s="49"/>
      <c r="F4" s="49"/>
      <c r="G4" s="49"/>
      <c r="H4" s="49"/>
      <c r="I4" s="49"/>
      <c r="J4" s="49"/>
    </row>
    <row r="5">
      <c r="A5" s="49"/>
      <c r="B5" s="49"/>
      <c r="C5" s="49"/>
      <c r="D5" s="49"/>
      <c r="E5" s="49"/>
      <c r="F5" s="49"/>
      <c r="G5" s="49"/>
      <c r="H5" s="49"/>
      <c r="I5" s="49"/>
      <c r="J5" s="49"/>
    </row>
    <row r="6">
      <c r="A6" s="71" t="s">
        <v>147</v>
      </c>
      <c r="B6" s="5"/>
      <c r="C6" s="5"/>
      <c r="D6" s="5"/>
      <c r="E6" s="5"/>
      <c r="F6" s="5"/>
      <c r="G6" s="5"/>
      <c r="H6" s="5"/>
      <c r="I6" s="5"/>
      <c r="J6" s="72"/>
    </row>
    <row r="7">
      <c r="A7" s="49"/>
      <c r="B7" s="49"/>
      <c r="C7" s="49"/>
      <c r="D7" s="49"/>
      <c r="E7" s="49"/>
      <c r="F7" s="49"/>
      <c r="G7" s="49"/>
      <c r="H7" s="49"/>
      <c r="I7" s="49"/>
      <c r="J7" s="49"/>
    </row>
    <row r="8" ht="57.0" customHeight="1">
      <c r="A8" s="73" t="s">
        <v>148</v>
      </c>
      <c r="B8" s="74" t="s">
        <v>149</v>
      </c>
      <c r="C8" s="74" t="s">
        <v>150</v>
      </c>
      <c r="D8" s="74" t="s">
        <v>151</v>
      </c>
      <c r="E8" s="74" t="s">
        <v>152</v>
      </c>
      <c r="F8" s="75" t="s">
        <v>153</v>
      </c>
      <c r="G8" s="76" t="s">
        <v>154</v>
      </c>
      <c r="H8" s="98" t="s">
        <v>9</v>
      </c>
      <c r="I8" s="99" t="s">
        <v>155</v>
      </c>
      <c r="J8" s="100" t="s">
        <v>180</v>
      </c>
    </row>
    <row r="9" ht="194.25" customHeight="1">
      <c r="A9" s="73" t="s">
        <v>12</v>
      </c>
      <c r="B9" s="79" t="s">
        <v>181</v>
      </c>
      <c r="C9" s="61" t="s">
        <v>182</v>
      </c>
      <c r="D9" s="79" t="s">
        <v>183</v>
      </c>
      <c r="E9" s="94">
        <v>45030.0</v>
      </c>
      <c r="F9" s="101">
        <f t="shared" ref="F9:F11" si="1">E9*19%</f>
        <v>8555.7</v>
      </c>
      <c r="G9" s="102">
        <f t="shared" ref="G9:G11" si="2">E9/446620</f>
        <v>0.1008239667</v>
      </c>
      <c r="H9" s="103">
        <f t="shared" ref="H9:H11" si="3">F9/G9</f>
        <v>84857.8</v>
      </c>
      <c r="I9" s="79" t="s">
        <v>16</v>
      </c>
      <c r="J9" s="96" t="s">
        <v>184</v>
      </c>
    </row>
    <row r="10" ht="237.0" customHeight="1">
      <c r="A10" s="73" t="s">
        <v>161</v>
      </c>
      <c r="B10" s="93" t="s">
        <v>57</v>
      </c>
      <c r="C10" s="104" t="s">
        <v>185</v>
      </c>
      <c r="D10" s="79" t="s">
        <v>183</v>
      </c>
      <c r="E10" s="94">
        <v>1000384.0</v>
      </c>
      <c r="F10" s="101">
        <f t="shared" si="1"/>
        <v>190072.96</v>
      </c>
      <c r="G10" s="105">
        <f t="shared" si="2"/>
        <v>2.239899691</v>
      </c>
      <c r="H10" s="103">
        <f t="shared" si="3"/>
        <v>84857.8</v>
      </c>
      <c r="I10" s="79" t="s">
        <v>16</v>
      </c>
      <c r="J10" s="96" t="s">
        <v>186</v>
      </c>
    </row>
    <row r="11" ht="76.5" customHeight="1">
      <c r="A11" s="73" t="s">
        <v>23</v>
      </c>
      <c r="B11" s="93" t="s">
        <v>187</v>
      </c>
      <c r="C11" s="61" t="s">
        <v>188</v>
      </c>
      <c r="D11" s="79" t="s">
        <v>183</v>
      </c>
      <c r="E11" s="94">
        <v>90753.0</v>
      </c>
      <c r="F11" s="101">
        <f t="shared" si="1"/>
        <v>17243.07</v>
      </c>
      <c r="G11" s="102">
        <f t="shared" si="2"/>
        <v>0.203199588</v>
      </c>
      <c r="H11" s="103">
        <f t="shared" si="3"/>
        <v>84857.8</v>
      </c>
      <c r="I11" s="79" t="s">
        <v>16</v>
      </c>
      <c r="J11" s="85" t="s">
        <v>189</v>
      </c>
    </row>
    <row r="12">
      <c r="A12" s="106"/>
      <c r="B12" s="79"/>
      <c r="C12" s="79"/>
      <c r="D12" s="79"/>
      <c r="E12" s="79"/>
      <c r="F12" s="79"/>
      <c r="G12" s="79"/>
      <c r="H12" s="107"/>
      <c r="I12" s="107"/>
      <c r="J12" s="79"/>
    </row>
    <row r="13">
      <c r="A13" s="49"/>
      <c r="B13" s="49"/>
      <c r="C13" s="49"/>
      <c r="D13" s="49"/>
      <c r="E13" s="49"/>
      <c r="F13" s="49"/>
      <c r="G13" s="49"/>
      <c r="H13" s="49"/>
      <c r="I13" s="49"/>
      <c r="J13" s="49"/>
    </row>
    <row r="14">
      <c r="A14" s="90" t="s">
        <v>168</v>
      </c>
      <c r="B14" s="5"/>
      <c r="C14" s="5"/>
      <c r="D14" s="5"/>
      <c r="E14" s="5"/>
      <c r="F14" s="5"/>
      <c r="G14" s="5"/>
      <c r="H14" s="5"/>
      <c r="I14" s="5"/>
      <c r="J14" s="5"/>
    </row>
    <row r="15">
      <c r="A15" s="49"/>
      <c r="B15" s="49"/>
      <c r="C15" s="49"/>
      <c r="D15" s="49"/>
      <c r="E15" s="49"/>
      <c r="F15" s="49"/>
      <c r="G15" s="49"/>
      <c r="H15" s="49"/>
      <c r="I15" s="49"/>
      <c r="J15" s="49"/>
    </row>
    <row r="16">
      <c r="A16" s="90" t="s">
        <v>169</v>
      </c>
      <c r="B16" s="5"/>
      <c r="C16" s="5"/>
      <c r="D16" s="5"/>
      <c r="E16" s="5"/>
      <c r="F16" s="5"/>
      <c r="G16" s="5"/>
      <c r="H16" s="5"/>
      <c r="I16" s="5"/>
      <c r="J16" s="5"/>
    </row>
  </sheetData>
  <mergeCells count="4">
    <mergeCell ref="D3:H3"/>
    <mergeCell ref="A6:J6"/>
    <mergeCell ref="A14:J14"/>
    <mergeCell ref="A16:J16"/>
  </mergeCells>
  <hyperlinks>
    <hyperlink r:id="rId1" ref="C9"/>
    <hyperlink r:id="rId2" ref="C10"/>
    <hyperlink r:id="rId3" ref="C11"/>
  </hyperlinks>
  <printOptions/>
  <pageMargins bottom="0.0" footer="0.0" header="0.0" left="0.0" right="0.0" top="0.0"/>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5"/>
    <col customWidth="1" min="3" max="3" width="46.13"/>
    <col customWidth="1" min="4" max="4" width="15.0"/>
    <col customWidth="1" min="5" max="9" width="12.5"/>
    <col customWidth="1" min="10" max="10" width="56.5"/>
    <col customWidth="1" min="11" max="26" width="12.5"/>
  </cols>
  <sheetData>
    <row r="1">
      <c r="A1" s="49"/>
      <c r="B1" s="49"/>
      <c r="C1" s="49"/>
      <c r="D1" s="49"/>
      <c r="E1" s="49"/>
      <c r="F1" s="49"/>
      <c r="G1" s="49"/>
      <c r="H1" s="49"/>
      <c r="I1" s="49"/>
      <c r="J1" s="49"/>
    </row>
    <row r="2">
      <c r="A2" s="49"/>
      <c r="B2" s="49"/>
      <c r="C2" s="49"/>
      <c r="D2" s="49"/>
      <c r="E2" s="49"/>
      <c r="F2" s="49"/>
      <c r="G2" s="49"/>
      <c r="H2" s="49"/>
      <c r="I2" s="49"/>
      <c r="J2" s="49"/>
    </row>
    <row r="3">
      <c r="A3" s="49"/>
      <c r="B3" s="49"/>
      <c r="C3" s="49"/>
      <c r="D3" s="70" t="s">
        <v>0</v>
      </c>
      <c r="I3" s="49"/>
      <c r="J3" s="49"/>
    </row>
    <row r="4">
      <c r="A4" s="49"/>
      <c r="B4" s="49"/>
      <c r="C4" s="49"/>
      <c r="D4" s="49"/>
      <c r="E4" s="49"/>
      <c r="F4" s="49"/>
      <c r="G4" s="49"/>
      <c r="H4" s="49"/>
      <c r="I4" s="49"/>
      <c r="J4" s="49"/>
    </row>
    <row r="5">
      <c r="A5" s="49"/>
      <c r="B5" s="49"/>
      <c r="C5" s="49"/>
      <c r="D5" s="49"/>
      <c r="E5" s="49"/>
      <c r="F5" s="49"/>
      <c r="G5" s="49"/>
      <c r="H5" s="49"/>
      <c r="I5" s="49"/>
      <c r="J5" s="49"/>
    </row>
    <row r="6">
      <c r="A6" s="71" t="s">
        <v>147</v>
      </c>
      <c r="B6" s="5"/>
      <c r="C6" s="5"/>
      <c r="D6" s="5"/>
      <c r="E6" s="5"/>
      <c r="F6" s="5"/>
      <c r="G6" s="5"/>
      <c r="H6" s="5"/>
      <c r="I6" s="5"/>
      <c r="J6" s="72"/>
    </row>
    <row r="7">
      <c r="A7" s="49"/>
      <c r="B7" s="49"/>
      <c r="C7" s="49"/>
      <c r="D7" s="49"/>
      <c r="E7" s="49"/>
      <c r="F7" s="49"/>
      <c r="G7" s="49"/>
      <c r="H7" s="49"/>
      <c r="I7" s="49"/>
      <c r="J7" s="49"/>
    </row>
    <row r="8" ht="78.0" customHeight="1">
      <c r="A8" s="73" t="s">
        <v>148</v>
      </c>
      <c r="B8" s="99" t="s">
        <v>149</v>
      </c>
      <c r="C8" s="99" t="s">
        <v>150</v>
      </c>
      <c r="D8" s="99" t="s">
        <v>151</v>
      </c>
      <c r="E8" s="99" t="s">
        <v>152</v>
      </c>
      <c r="F8" s="108" t="s">
        <v>153</v>
      </c>
      <c r="G8" s="109" t="s">
        <v>154</v>
      </c>
      <c r="H8" s="98" t="s">
        <v>9</v>
      </c>
      <c r="I8" s="99" t="s">
        <v>155</v>
      </c>
      <c r="J8" s="99" t="s">
        <v>156</v>
      </c>
    </row>
    <row r="9" ht="231.75" customHeight="1">
      <c r="A9" s="110" t="s">
        <v>12</v>
      </c>
      <c r="B9" s="106" t="s">
        <v>190</v>
      </c>
      <c r="C9" s="111" t="s">
        <v>191</v>
      </c>
      <c r="D9" s="79" t="s">
        <v>192</v>
      </c>
      <c r="E9" s="112">
        <v>221900.0</v>
      </c>
      <c r="F9" s="101">
        <f t="shared" ref="F9:F11" si="1">E9*19%</f>
        <v>42161</v>
      </c>
      <c r="G9" s="103">
        <f t="shared" ref="G9:G11" si="2">E9/446620</f>
        <v>0.4968429537</v>
      </c>
      <c r="H9" s="101">
        <f t="shared" ref="H9:H11" si="3">F9/G9</f>
        <v>84857.8</v>
      </c>
      <c r="I9" s="79" t="s">
        <v>16</v>
      </c>
      <c r="J9" s="93" t="s">
        <v>193</v>
      </c>
    </row>
    <row r="10" ht="111.75" customHeight="1">
      <c r="A10" s="110" t="s">
        <v>161</v>
      </c>
      <c r="B10" s="79" t="s">
        <v>157</v>
      </c>
      <c r="C10" s="61" t="s">
        <v>194</v>
      </c>
      <c r="D10" s="79" t="s">
        <v>192</v>
      </c>
      <c r="E10" s="94">
        <v>68990.0</v>
      </c>
      <c r="F10" s="101">
        <f t="shared" si="1"/>
        <v>13108.1</v>
      </c>
      <c r="G10" s="103">
        <f t="shared" si="2"/>
        <v>0.1544713627</v>
      </c>
      <c r="H10" s="101">
        <f t="shared" si="3"/>
        <v>84857.8</v>
      </c>
      <c r="I10" s="79" t="s">
        <v>16</v>
      </c>
      <c r="J10" s="93" t="s">
        <v>195</v>
      </c>
    </row>
    <row r="11" ht="187.5" customHeight="1">
      <c r="A11" s="73" t="s">
        <v>23</v>
      </c>
      <c r="B11" s="113" t="s">
        <v>57</v>
      </c>
      <c r="C11" s="114" t="s">
        <v>196</v>
      </c>
      <c r="D11" s="79" t="s">
        <v>192</v>
      </c>
      <c r="E11" s="115">
        <v>7601132.0</v>
      </c>
      <c r="F11" s="101">
        <f t="shared" si="1"/>
        <v>1444215.08</v>
      </c>
      <c r="G11" s="101">
        <f t="shared" si="2"/>
        <v>17.01923783</v>
      </c>
      <c r="H11" s="101">
        <f t="shared" si="3"/>
        <v>84857.8</v>
      </c>
      <c r="I11" s="79" t="s">
        <v>16</v>
      </c>
      <c r="J11" s="93" t="s">
        <v>197</v>
      </c>
    </row>
    <row r="12">
      <c r="A12" s="106"/>
      <c r="B12" s="79"/>
      <c r="C12" s="79"/>
      <c r="D12" s="79"/>
      <c r="E12" s="79"/>
      <c r="F12" s="79"/>
      <c r="G12" s="79"/>
      <c r="H12" s="79"/>
      <c r="I12" s="79"/>
      <c r="J12" s="79"/>
    </row>
    <row r="13">
      <c r="A13" s="49"/>
      <c r="B13" s="49"/>
      <c r="C13" s="49"/>
      <c r="D13" s="49"/>
      <c r="E13" s="49"/>
      <c r="F13" s="49"/>
      <c r="G13" s="49"/>
      <c r="H13" s="49"/>
      <c r="I13" s="49"/>
      <c r="J13" s="49"/>
    </row>
    <row r="14">
      <c r="A14" s="90" t="s">
        <v>168</v>
      </c>
      <c r="B14" s="5"/>
      <c r="C14" s="5"/>
      <c r="D14" s="5"/>
      <c r="E14" s="5"/>
      <c r="F14" s="5"/>
      <c r="G14" s="5"/>
      <c r="H14" s="5"/>
      <c r="I14" s="5"/>
      <c r="J14" s="5"/>
    </row>
    <row r="15">
      <c r="A15" s="49"/>
      <c r="B15" s="49"/>
      <c r="C15" s="49"/>
      <c r="D15" s="49"/>
      <c r="E15" s="49"/>
      <c r="F15" s="49"/>
      <c r="G15" s="49"/>
      <c r="H15" s="49"/>
      <c r="I15" s="49"/>
      <c r="J15" s="49"/>
    </row>
    <row r="16">
      <c r="A16" s="90" t="s">
        <v>169</v>
      </c>
      <c r="B16" s="5"/>
      <c r="C16" s="5"/>
      <c r="D16" s="5"/>
      <c r="E16" s="5"/>
      <c r="F16" s="5"/>
      <c r="G16" s="5"/>
      <c r="H16" s="5"/>
      <c r="I16" s="5"/>
      <c r="J16" s="5"/>
    </row>
  </sheetData>
  <mergeCells count="4">
    <mergeCell ref="D3:H3"/>
    <mergeCell ref="A6:J6"/>
    <mergeCell ref="A14:J14"/>
    <mergeCell ref="A16:J16"/>
  </mergeCells>
  <hyperlinks>
    <hyperlink r:id="rId1" ref="C9"/>
    <hyperlink r:id="rId2" location="/28-tipo_de_licencia-1_dispositivo" ref="C10"/>
    <hyperlink r:id="rId3" ref="C11"/>
  </hyperlinks>
  <printOptions/>
  <pageMargins bottom="0.0" footer="0.0" header="0.0" left="0.0" right="0.0" top="0.0"/>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12.38"/>
    <col customWidth="1" min="3" max="3" width="20.38"/>
    <col customWidth="1" min="4" max="4" width="18.0"/>
    <col customWidth="1" min="5" max="5" width="18.63"/>
    <col customWidth="1" min="6" max="6" width="19.5"/>
    <col customWidth="1" min="7" max="7" width="20.38"/>
    <col customWidth="1" min="8" max="8" width="15.13"/>
    <col customWidth="1" min="9" max="9" width="13.5"/>
    <col customWidth="1" min="10" max="10" width="38.5"/>
    <col customWidth="1" min="11" max="26" width="9.13"/>
  </cols>
  <sheetData>
    <row r="1" ht="12.75" customHeight="1">
      <c r="A1" s="49"/>
      <c r="B1" s="49"/>
      <c r="C1" s="49"/>
      <c r="D1" s="49"/>
      <c r="E1" s="49"/>
      <c r="F1" s="49"/>
      <c r="G1" s="49"/>
      <c r="H1" s="116"/>
      <c r="I1" s="49"/>
      <c r="J1" s="49"/>
    </row>
    <row r="2" ht="12.75" customHeight="1">
      <c r="A2" s="49"/>
      <c r="B2" s="49"/>
      <c r="C2" s="49"/>
      <c r="D2" s="49"/>
      <c r="E2" s="49"/>
      <c r="F2" s="49"/>
      <c r="G2" s="49"/>
      <c r="H2" s="116"/>
      <c r="I2" s="49"/>
      <c r="J2" s="49"/>
    </row>
    <row r="3" ht="12.75" customHeight="1">
      <c r="A3" s="49"/>
      <c r="B3" s="49"/>
      <c r="C3" s="49"/>
      <c r="D3" s="117" t="s">
        <v>0</v>
      </c>
      <c r="I3" s="49"/>
      <c r="J3" s="49"/>
    </row>
    <row r="4" ht="12.75" customHeight="1">
      <c r="A4" s="49"/>
      <c r="B4" s="49"/>
      <c r="C4" s="49"/>
      <c r="D4" s="49"/>
      <c r="E4" s="49"/>
      <c r="F4" s="49"/>
      <c r="G4" s="49"/>
      <c r="H4" s="116"/>
      <c r="I4" s="49"/>
      <c r="J4" s="49"/>
    </row>
    <row r="5" ht="12.75" customHeight="1">
      <c r="A5" s="49"/>
      <c r="B5" s="49"/>
      <c r="C5" s="49"/>
      <c r="D5" s="49"/>
      <c r="E5" s="49"/>
      <c r="F5" s="49"/>
      <c r="G5" s="49"/>
      <c r="H5" s="116"/>
      <c r="I5" s="49"/>
      <c r="J5" s="49"/>
    </row>
    <row r="6" ht="12.75" customHeight="1">
      <c r="A6" s="118" t="s">
        <v>1</v>
      </c>
      <c r="B6" s="5"/>
      <c r="C6" s="5"/>
      <c r="D6" s="5"/>
      <c r="E6" s="5"/>
      <c r="F6" s="5"/>
      <c r="G6" s="5"/>
      <c r="H6" s="5"/>
      <c r="I6" s="5"/>
      <c r="J6" s="72"/>
    </row>
    <row r="7" ht="12.75" customHeight="1">
      <c r="A7" s="49"/>
      <c r="B7" s="49"/>
      <c r="C7" s="49"/>
      <c r="D7" s="49"/>
      <c r="E7" s="49"/>
      <c r="F7" s="49"/>
      <c r="G7" s="49"/>
      <c r="H7" s="116"/>
      <c r="I7" s="49"/>
      <c r="J7" s="49"/>
    </row>
    <row r="8" ht="132.75" customHeight="1">
      <c r="A8" s="73" t="s">
        <v>148</v>
      </c>
      <c r="B8" s="74" t="s">
        <v>198</v>
      </c>
      <c r="C8" s="74" t="s">
        <v>199</v>
      </c>
      <c r="D8" s="74" t="s">
        <v>200</v>
      </c>
      <c r="E8" s="99" t="s">
        <v>201</v>
      </c>
      <c r="F8" s="108" t="s">
        <v>202</v>
      </c>
      <c r="G8" s="109" t="s">
        <v>203</v>
      </c>
      <c r="H8" s="98" t="s">
        <v>9</v>
      </c>
      <c r="I8" s="99" t="s">
        <v>204</v>
      </c>
      <c r="J8" s="100" t="s">
        <v>205</v>
      </c>
      <c r="N8" s="119" t="s">
        <v>206</v>
      </c>
    </row>
    <row r="9" ht="74.25" customHeight="1">
      <c r="A9" s="120" t="s">
        <v>12</v>
      </c>
      <c r="B9" s="79" t="s">
        <v>207</v>
      </c>
      <c r="C9" s="61" t="s">
        <v>208</v>
      </c>
      <c r="D9" s="121" t="s">
        <v>209</v>
      </c>
      <c r="E9" s="94">
        <v>5042042.0</v>
      </c>
      <c r="F9" s="101">
        <f t="shared" ref="F9:F11" si="1">E9*19%</f>
        <v>957987.98</v>
      </c>
      <c r="G9" s="122">
        <f t="shared" ref="G9:G11" si="2">E9/446620</f>
        <v>11.28933321</v>
      </c>
      <c r="H9" s="123">
        <f t="shared" ref="H9:H11" si="3">F9/G9</f>
        <v>84857.8</v>
      </c>
      <c r="I9" s="101" t="s">
        <v>16</v>
      </c>
      <c r="J9" s="85" t="s">
        <v>210</v>
      </c>
      <c r="K9" s="124"/>
      <c r="L9" s="124"/>
      <c r="M9" s="124"/>
      <c r="N9" s="124"/>
      <c r="O9" s="124"/>
      <c r="P9" s="124"/>
      <c r="Q9" s="124"/>
      <c r="R9" s="124"/>
      <c r="S9" s="124"/>
      <c r="T9" s="124"/>
      <c r="U9" s="124"/>
      <c r="V9" s="124"/>
      <c r="W9" s="124"/>
      <c r="X9" s="124"/>
      <c r="Y9" s="124"/>
      <c r="Z9" s="124"/>
    </row>
    <row r="10" ht="135.75" customHeight="1">
      <c r="A10" s="120" t="s">
        <v>18</v>
      </c>
      <c r="B10" s="79" t="s">
        <v>211</v>
      </c>
      <c r="C10" s="42" t="s">
        <v>212</v>
      </c>
      <c r="D10" s="121" t="s">
        <v>209</v>
      </c>
      <c r="E10" s="115">
        <v>6010320.0</v>
      </c>
      <c r="F10" s="101">
        <f t="shared" si="1"/>
        <v>1141960.8</v>
      </c>
      <c r="G10" s="122">
        <f t="shared" si="2"/>
        <v>13.45734629</v>
      </c>
      <c r="H10" s="122">
        <f t="shared" si="3"/>
        <v>84857.8</v>
      </c>
      <c r="I10" s="101" t="s">
        <v>16</v>
      </c>
      <c r="J10" s="96" t="s">
        <v>213</v>
      </c>
    </row>
    <row r="11" ht="148.5" customHeight="1">
      <c r="A11" s="120" t="s">
        <v>23</v>
      </c>
      <c r="B11" s="79" t="s">
        <v>214</v>
      </c>
      <c r="C11" s="125" t="s">
        <v>215</v>
      </c>
      <c r="D11" s="121" t="s">
        <v>209</v>
      </c>
      <c r="E11" s="94">
        <v>4640381.0</v>
      </c>
      <c r="F11" s="101">
        <f t="shared" si="1"/>
        <v>881672.39</v>
      </c>
      <c r="G11" s="122">
        <f t="shared" si="2"/>
        <v>10.38999821</v>
      </c>
      <c r="H11" s="123">
        <f t="shared" si="3"/>
        <v>84857.8</v>
      </c>
      <c r="I11" s="101" t="s">
        <v>16</v>
      </c>
      <c r="J11" s="85" t="s">
        <v>210</v>
      </c>
    </row>
    <row r="12" ht="12.75" customHeight="1">
      <c r="A12" s="88"/>
      <c r="B12" s="126"/>
      <c r="C12" s="126"/>
      <c r="D12" s="126"/>
      <c r="E12" s="126"/>
      <c r="F12" s="126"/>
      <c r="G12" s="126"/>
      <c r="H12" s="127"/>
      <c r="I12" s="126"/>
      <c r="J12" s="126"/>
    </row>
    <row r="13" ht="12.75" customHeight="1">
      <c r="A13" s="49"/>
      <c r="B13" s="49"/>
      <c r="C13" s="49"/>
      <c r="D13" s="49"/>
      <c r="E13" s="49"/>
      <c r="F13" s="49"/>
      <c r="G13" s="49"/>
      <c r="H13" s="116"/>
      <c r="I13" s="49"/>
      <c r="J13" s="49"/>
    </row>
    <row r="14" ht="12.75" customHeight="1">
      <c r="A14" s="128" t="s">
        <v>216</v>
      </c>
      <c r="B14" s="5"/>
      <c r="C14" s="5"/>
      <c r="D14" s="5"/>
      <c r="E14" s="5"/>
      <c r="F14" s="5"/>
      <c r="G14" s="5"/>
      <c r="H14" s="5"/>
      <c r="I14" s="5"/>
      <c r="J14" s="5"/>
    </row>
    <row r="15" ht="12.75" customHeight="1">
      <c r="A15" s="49"/>
      <c r="B15" s="49"/>
      <c r="C15" s="49"/>
      <c r="D15" s="49"/>
      <c r="E15" s="49"/>
      <c r="F15" s="49"/>
      <c r="G15" s="49"/>
      <c r="H15" s="116"/>
      <c r="I15" s="49"/>
      <c r="J15" s="49"/>
    </row>
    <row r="16" ht="12.75" customHeight="1">
      <c r="A16" s="128" t="s">
        <v>217</v>
      </c>
      <c r="B16" s="5"/>
      <c r="C16" s="5"/>
      <c r="D16" s="5"/>
      <c r="E16" s="5"/>
      <c r="F16" s="5"/>
      <c r="G16" s="5"/>
      <c r="H16" s="5"/>
      <c r="I16" s="5"/>
      <c r="J16" s="5"/>
    </row>
    <row r="17" ht="12.75" customHeight="1">
      <c r="H17" s="116"/>
    </row>
    <row r="18" ht="12.75" customHeight="1">
      <c r="H18" s="116"/>
    </row>
    <row r="19" ht="12.75" customHeight="1">
      <c r="H19" s="116"/>
    </row>
    <row r="20" ht="12.75" customHeight="1">
      <c r="H20" s="116"/>
    </row>
    <row r="21" ht="12.75" customHeight="1">
      <c r="H21" s="116"/>
    </row>
    <row r="22" ht="12.75" customHeight="1">
      <c r="H22" s="116"/>
    </row>
    <row r="23" ht="12.75" customHeight="1">
      <c r="H23" s="116"/>
    </row>
    <row r="24" ht="12.75" customHeight="1">
      <c r="H24" s="116"/>
    </row>
    <row r="25" ht="12.75" customHeight="1">
      <c r="H25" s="116"/>
    </row>
    <row r="26" ht="12.75" customHeight="1">
      <c r="H26" s="116"/>
    </row>
    <row r="27" ht="12.75" customHeight="1">
      <c r="H27" s="116"/>
    </row>
    <row r="28" ht="12.75" customHeight="1">
      <c r="H28" s="116"/>
    </row>
    <row r="29" ht="12.75" customHeight="1">
      <c r="H29" s="116"/>
    </row>
    <row r="30" ht="12.75" customHeight="1">
      <c r="H30" s="116"/>
    </row>
    <row r="31" ht="12.75" customHeight="1">
      <c r="H31" s="116"/>
    </row>
    <row r="32" ht="12.75" customHeight="1">
      <c r="H32" s="116"/>
    </row>
    <row r="33" ht="12.75" customHeight="1">
      <c r="H33" s="116"/>
    </row>
    <row r="34" ht="12.75" customHeight="1">
      <c r="H34" s="116"/>
    </row>
    <row r="35" ht="12.75" customHeight="1">
      <c r="H35" s="116"/>
    </row>
    <row r="36" ht="12.75" customHeight="1">
      <c r="H36" s="116"/>
    </row>
    <row r="37" ht="12.75" customHeight="1">
      <c r="H37" s="116"/>
    </row>
    <row r="38" ht="12.75" customHeight="1">
      <c r="H38" s="116"/>
    </row>
    <row r="39" ht="12.75" customHeight="1">
      <c r="H39" s="116"/>
    </row>
    <row r="40" ht="12.75" customHeight="1">
      <c r="H40" s="116"/>
    </row>
    <row r="41" ht="12.75" customHeight="1">
      <c r="H41" s="116"/>
    </row>
    <row r="42" ht="12.75" customHeight="1">
      <c r="H42" s="116"/>
    </row>
    <row r="43" ht="12.75" customHeight="1">
      <c r="H43" s="116"/>
    </row>
    <row r="44" ht="12.75" customHeight="1">
      <c r="H44" s="116"/>
    </row>
    <row r="45" ht="12.75" customHeight="1">
      <c r="H45" s="116"/>
    </row>
    <row r="46" ht="12.75" customHeight="1">
      <c r="H46" s="116"/>
    </row>
    <row r="47" ht="12.75" customHeight="1">
      <c r="H47" s="116"/>
    </row>
    <row r="48" ht="12.75" customHeight="1">
      <c r="H48" s="116"/>
    </row>
    <row r="49" ht="12.75" customHeight="1">
      <c r="H49" s="116"/>
    </row>
    <row r="50" ht="12.75" customHeight="1">
      <c r="H50" s="116"/>
    </row>
    <row r="51" ht="12.75" customHeight="1">
      <c r="H51" s="116"/>
    </row>
    <row r="52" ht="12.75" customHeight="1">
      <c r="H52" s="116"/>
    </row>
    <row r="53" ht="12.75" customHeight="1">
      <c r="H53" s="116"/>
    </row>
    <row r="54" ht="12.75" customHeight="1">
      <c r="H54" s="116"/>
    </row>
    <row r="55" ht="12.75" customHeight="1">
      <c r="H55" s="116"/>
    </row>
    <row r="56" ht="12.75" customHeight="1">
      <c r="H56" s="116"/>
    </row>
    <row r="57" ht="12.75" customHeight="1">
      <c r="H57" s="116"/>
    </row>
    <row r="58" ht="12.75" customHeight="1">
      <c r="H58" s="116"/>
    </row>
    <row r="59" ht="12.75" customHeight="1">
      <c r="H59" s="116"/>
    </row>
    <row r="60" ht="12.75" customHeight="1">
      <c r="H60" s="116"/>
    </row>
    <row r="61" ht="12.75" customHeight="1">
      <c r="H61" s="116"/>
    </row>
    <row r="62" ht="12.75" customHeight="1">
      <c r="H62" s="116"/>
    </row>
    <row r="63" ht="12.75" customHeight="1">
      <c r="H63" s="116"/>
    </row>
    <row r="64" ht="12.75" customHeight="1">
      <c r="H64" s="116"/>
    </row>
    <row r="65" ht="12.75" customHeight="1">
      <c r="H65" s="116"/>
    </row>
    <row r="66" ht="12.75" customHeight="1">
      <c r="H66" s="116"/>
    </row>
    <row r="67" ht="12.75" customHeight="1">
      <c r="H67" s="116"/>
    </row>
    <row r="68" ht="12.75" customHeight="1">
      <c r="H68" s="116"/>
    </row>
    <row r="69" ht="12.75" customHeight="1">
      <c r="H69" s="116"/>
    </row>
    <row r="70" ht="12.75" customHeight="1">
      <c r="H70" s="116"/>
    </row>
    <row r="71" ht="12.75" customHeight="1">
      <c r="H71" s="116"/>
    </row>
    <row r="72" ht="12.75" customHeight="1">
      <c r="H72" s="116"/>
    </row>
    <row r="73" ht="12.75" customHeight="1">
      <c r="H73" s="116"/>
    </row>
    <row r="74" ht="12.75" customHeight="1">
      <c r="H74" s="116"/>
    </row>
    <row r="75" ht="12.75" customHeight="1">
      <c r="H75" s="116"/>
    </row>
    <row r="76" ht="12.75" customHeight="1">
      <c r="H76" s="116"/>
    </row>
    <row r="77" ht="12.75" customHeight="1">
      <c r="H77" s="116"/>
    </row>
    <row r="78" ht="12.75" customHeight="1">
      <c r="H78" s="116"/>
    </row>
    <row r="79" ht="12.75" customHeight="1">
      <c r="H79" s="116"/>
    </row>
    <row r="80" ht="12.75" customHeight="1">
      <c r="H80" s="116"/>
    </row>
    <row r="81" ht="12.75" customHeight="1">
      <c r="H81" s="116"/>
    </row>
    <row r="82" ht="12.75" customHeight="1">
      <c r="H82" s="116"/>
    </row>
    <row r="83" ht="12.75" customHeight="1">
      <c r="H83" s="116"/>
    </row>
    <row r="84" ht="12.75" customHeight="1">
      <c r="H84" s="116"/>
    </row>
    <row r="85" ht="12.75" customHeight="1">
      <c r="H85" s="116"/>
    </row>
    <row r="86" ht="12.75" customHeight="1">
      <c r="H86" s="116"/>
    </row>
    <row r="87" ht="12.75" customHeight="1">
      <c r="H87" s="116"/>
    </row>
    <row r="88" ht="12.75" customHeight="1">
      <c r="H88" s="116"/>
    </row>
    <row r="89" ht="12.75" customHeight="1">
      <c r="H89" s="116"/>
    </row>
    <row r="90" ht="12.75" customHeight="1">
      <c r="H90" s="116"/>
    </row>
    <row r="91" ht="12.75" customHeight="1">
      <c r="H91" s="116"/>
    </row>
    <row r="92" ht="12.75" customHeight="1">
      <c r="H92" s="116"/>
    </row>
    <row r="93" ht="12.75" customHeight="1">
      <c r="H93" s="116"/>
    </row>
    <row r="94" ht="12.75" customHeight="1">
      <c r="H94" s="116"/>
    </row>
    <row r="95" ht="12.75" customHeight="1">
      <c r="H95" s="116"/>
    </row>
    <row r="96" ht="12.75" customHeight="1">
      <c r="H96" s="116"/>
    </row>
    <row r="97" ht="12.75" customHeight="1">
      <c r="H97" s="116"/>
    </row>
    <row r="98" ht="12.75" customHeight="1">
      <c r="H98" s="116"/>
    </row>
    <row r="99" ht="12.75" customHeight="1">
      <c r="H99" s="116"/>
    </row>
    <row r="100" ht="12.75" customHeight="1">
      <c r="H100" s="116"/>
    </row>
    <row r="101" ht="12.75" customHeight="1">
      <c r="H101" s="116"/>
    </row>
    <row r="102" ht="12.75" customHeight="1">
      <c r="H102" s="116"/>
    </row>
    <row r="103" ht="12.75" customHeight="1">
      <c r="H103" s="116"/>
    </row>
    <row r="104" ht="12.75" customHeight="1">
      <c r="H104" s="116"/>
    </row>
    <row r="105" ht="12.75" customHeight="1">
      <c r="H105" s="116"/>
    </row>
    <row r="106" ht="12.75" customHeight="1">
      <c r="H106" s="116"/>
    </row>
    <row r="107" ht="12.75" customHeight="1">
      <c r="H107" s="116"/>
    </row>
    <row r="108" ht="12.75" customHeight="1">
      <c r="H108" s="116"/>
    </row>
    <row r="109" ht="12.75" customHeight="1">
      <c r="H109" s="116"/>
    </row>
    <row r="110" ht="12.75" customHeight="1">
      <c r="H110" s="116"/>
    </row>
    <row r="111" ht="12.75" customHeight="1">
      <c r="H111" s="116"/>
    </row>
    <row r="112" ht="12.75" customHeight="1">
      <c r="H112" s="116"/>
    </row>
    <row r="113" ht="12.75" customHeight="1">
      <c r="H113" s="116"/>
    </row>
    <row r="114" ht="12.75" customHeight="1">
      <c r="H114" s="116"/>
    </row>
    <row r="115" ht="12.75" customHeight="1">
      <c r="H115" s="116"/>
    </row>
    <row r="116" ht="12.75" customHeight="1">
      <c r="H116" s="116"/>
    </row>
    <row r="117" ht="12.75" customHeight="1">
      <c r="H117" s="116"/>
    </row>
    <row r="118" ht="12.75" customHeight="1">
      <c r="H118" s="116"/>
    </row>
    <row r="119" ht="12.75" customHeight="1">
      <c r="H119" s="116"/>
    </row>
    <row r="120" ht="12.75" customHeight="1">
      <c r="H120" s="116"/>
    </row>
    <row r="121" ht="12.75" customHeight="1">
      <c r="H121" s="116"/>
    </row>
    <row r="122" ht="12.75" customHeight="1">
      <c r="H122" s="116"/>
    </row>
    <row r="123" ht="12.75" customHeight="1">
      <c r="H123" s="116"/>
    </row>
    <row r="124" ht="12.75" customHeight="1">
      <c r="H124" s="116"/>
    </row>
    <row r="125" ht="12.75" customHeight="1">
      <c r="H125" s="116"/>
    </row>
    <row r="126" ht="12.75" customHeight="1">
      <c r="H126" s="116"/>
    </row>
    <row r="127" ht="12.75" customHeight="1">
      <c r="H127" s="116"/>
    </row>
    <row r="128" ht="12.75" customHeight="1">
      <c r="H128" s="116"/>
    </row>
    <row r="129" ht="12.75" customHeight="1">
      <c r="H129" s="116"/>
    </row>
    <row r="130" ht="12.75" customHeight="1">
      <c r="H130" s="116"/>
    </row>
    <row r="131" ht="12.75" customHeight="1">
      <c r="H131" s="116"/>
    </row>
    <row r="132" ht="12.75" customHeight="1">
      <c r="H132" s="116"/>
    </row>
    <row r="133" ht="12.75" customHeight="1">
      <c r="H133" s="116"/>
    </row>
    <row r="134" ht="12.75" customHeight="1">
      <c r="H134" s="116"/>
    </row>
    <row r="135" ht="12.75" customHeight="1">
      <c r="H135" s="116"/>
    </row>
    <row r="136" ht="12.75" customHeight="1">
      <c r="H136" s="116"/>
    </row>
    <row r="137" ht="12.75" customHeight="1">
      <c r="H137" s="116"/>
    </row>
    <row r="138" ht="12.75" customHeight="1">
      <c r="H138" s="116"/>
    </row>
    <row r="139" ht="12.75" customHeight="1">
      <c r="H139" s="116"/>
    </row>
    <row r="140" ht="12.75" customHeight="1">
      <c r="H140" s="116"/>
    </row>
    <row r="141" ht="12.75" customHeight="1">
      <c r="H141" s="116"/>
    </row>
    <row r="142" ht="12.75" customHeight="1">
      <c r="H142" s="116"/>
    </row>
    <row r="143" ht="12.75" customHeight="1">
      <c r="H143" s="116"/>
    </row>
    <row r="144" ht="12.75" customHeight="1">
      <c r="H144" s="116"/>
    </row>
    <row r="145" ht="12.75" customHeight="1">
      <c r="H145" s="116"/>
    </row>
    <row r="146" ht="12.75" customHeight="1">
      <c r="H146" s="116"/>
    </row>
    <row r="147" ht="12.75" customHeight="1">
      <c r="H147" s="116"/>
    </row>
    <row r="148" ht="12.75" customHeight="1">
      <c r="H148" s="116"/>
    </row>
    <row r="149" ht="12.75" customHeight="1">
      <c r="H149" s="116"/>
    </row>
    <row r="150" ht="12.75" customHeight="1">
      <c r="H150" s="116"/>
    </row>
    <row r="151" ht="12.75" customHeight="1">
      <c r="H151" s="116"/>
    </row>
    <row r="152" ht="12.75" customHeight="1">
      <c r="H152" s="116"/>
    </row>
    <row r="153" ht="12.75" customHeight="1">
      <c r="H153" s="116"/>
    </row>
    <row r="154" ht="12.75" customHeight="1">
      <c r="H154" s="116"/>
    </row>
    <row r="155" ht="12.75" customHeight="1">
      <c r="H155" s="116"/>
    </row>
    <row r="156" ht="12.75" customHeight="1">
      <c r="H156" s="116"/>
    </row>
    <row r="157" ht="12.75" customHeight="1">
      <c r="H157" s="116"/>
    </row>
    <row r="158" ht="12.75" customHeight="1">
      <c r="H158" s="116"/>
    </row>
    <row r="159" ht="12.75" customHeight="1">
      <c r="H159" s="116"/>
    </row>
    <row r="160" ht="12.75" customHeight="1">
      <c r="H160" s="116"/>
    </row>
    <row r="161" ht="12.75" customHeight="1">
      <c r="H161" s="116"/>
    </row>
    <row r="162" ht="12.75" customHeight="1">
      <c r="H162" s="116"/>
    </row>
    <row r="163" ht="12.75" customHeight="1">
      <c r="H163" s="116"/>
    </row>
    <row r="164" ht="12.75" customHeight="1">
      <c r="H164" s="116"/>
    </row>
    <row r="165" ht="12.75" customHeight="1">
      <c r="H165" s="116"/>
    </row>
    <row r="166" ht="12.75" customHeight="1">
      <c r="H166" s="116"/>
    </row>
    <row r="167" ht="12.75" customHeight="1">
      <c r="H167" s="116"/>
    </row>
    <row r="168" ht="12.75" customHeight="1">
      <c r="H168" s="116"/>
    </row>
    <row r="169" ht="12.75" customHeight="1">
      <c r="H169" s="116"/>
    </row>
    <row r="170" ht="12.75" customHeight="1">
      <c r="H170" s="116"/>
    </row>
    <row r="171" ht="12.75" customHeight="1">
      <c r="H171" s="116"/>
    </row>
    <row r="172" ht="12.75" customHeight="1">
      <c r="H172" s="116"/>
    </row>
    <row r="173" ht="12.75" customHeight="1">
      <c r="H173" s="116"/>
    </row>
    <row r="174" ht="12.75" customHeight="1">
      <c r="H174" s="116"/>
    </row>
    <row r="175" ht="12.75" customHeight="1">
      <c r="H175" s="116"/>
    </row>
    <row r="176" ht="12.75" customHeight="1">
      <c r="H176" s="116"/>
    </row>
    <row r="177" ht="12.75" customHeight="1">
      <c r="H177" s="116"/>
    </row>
    <row r="178" ht="12.75" customHeight="1">
      <c r="H178" s="116"/>
    </row>
    <row r="179" ht="12.75" customHeight="1">
      <c r="H179" s="116"/>
    </row>
    <row r="180" ht="12.75" customHeight="1">
      <c r="H180" s="116"/>
    </row>
    <row r="181" ht="12.75" customHeight="1">
      <c r="H181" s="116"/>
    </row>
    <row r="182" ht="12.75" customHeight="1">
      <c r="H182" s="116"/>
    </row>
    <row r="183" ht="12.75" customHeight="1">
      <c r="H183" s="116"/>
    </row>
    <row r="184" ht="12.75" customHeight="1">
      <c r="H184" s="116"/>
    </row>
    <row r="185" ht="12.75" customHeight="1">
      <c r="H185" s="116"/>
    </row>
    <row r="186" ht="12.75" customHeight="1">
      <c r="H186" s="116"/>
    </row>
    <row r="187" ht="12.75" customHeight="1">
      <c r="H187" s="116"/>
    </row>
    <row r="188" ht="12.75" customHeight="1">
      <c r="H188" s="116"/>
    </row>
    <row r="189" ht="12.75" customHeight="1">
      <c r="H189" s="116"/>
    </row>
    <row r="190" ht="12.75" customHeight="1">
      <c r="H190" s="116"/>
    </row>
    <row r="191" ht="12.75" customHeight="1">
      <c r="H191" s="116"/>
    </row>
    <row r="192" ht="12.75" customHeight="1">
      <c r="H192" s="116"/>
    </row>
    <row r="193" ht="12.75" customHeight="1">
      <c r="H193" s="116"/>
    </row>
    <row r="194" ht="12.75" customHeight="1">
      <c r="H194" s="116"/>
    </row>
    <row r="195" ht="12.75" customHeight="1">
      <c r="H195" s="116"/>
    </row>
    <row r="196" ht="12.75" customHeight="1">
      <c r="H196" s="116"/>
    </row>
    <row r="197" ht="12.75" customHeight="1">
      <c r="H197" s="116"/>
    </row>
    <row r="198" ht="12.75" customHeight="1">
      <c r="H198" s="116"/>
    </row>
    <row r="199" ht="12.75" customHeight="1">
      <c r="H199" s="116"/>
    </row>
    <row r="200" ht="12.75" customHeight="1">
      <c r="H200" s="116"/>
    </row>
    <row r="201" ht="12.75" customHeight="1">
      <c r="H201" s="116"/>
    </row>
    <row r="202" ht="12.75" customHeight="1">
      <c r="H202" s="116"/>
    </row>
    <row r="203" ht="12.75" customHeight="1">
      <c r="H203" s="116"/>
    </row>
    <row r="204" ht="12.75" customHeight="1">
      <c r="H204" s="116"/>
    </row>
    <row r="205" ht="12.75" customHeight="1">
      <c r="H205" s="116"/>
    </row>
    <row r="206" ht="12.75" customHeight="1">
      <c r="H206" s="116"/>
    </row>
    <row r="207" ht="12.75" customHeight="1">
      <c r="H207" s="116"/>
    </row>
    <row r="208" ht="12.75" customHeight="1">
      <c r="H208" s="116"/>
    </row>
    <row r="209" ht="12.75" customHeight="1">
      <c r="H209" s="116"/>
    </row>
    <row r="210" ht="12.75" customHeight="1">
      <c r="H210" s="116"/>
    </row>
    <row r="211" ht="12.75" customHeight="1">
      <c r="H211" s="116"/>
    </row>
    <row r="212" ht="12.75" customHeight="1">
      <c r="H212" s="116"/>
    </row>
    <row r="213" ht="12.75" customHeight="1">
      <c r="H213" s="116"/>
    </row>
    <row r="214" ht="12.75" customHeight="1">
      <c r="H214" s="116"/>
    </row>
    <row r="215" ht="12.75" customHeight="1">
      <c r="H215" s="116"/>
    </row>
    <row r="216" ht="12.75" customHeight="1">
      <c r="H216" s="116"/>
    </row>
    <row r="217" ht="12.75" customHeight="1">
      <c r="H217" s="116"/>
    </row>
    <row r="218" ht="12.75" customHeight="1">
      <c r="H218" s="116"/>
    </row>
    <row r="219" ht="12.75" customHeight="1">
      <c r="H219" s="116"/>
    </row>
    <row r="220" ht="12.75" customHeight="1">
      <c r="H220" s="116"/>
    </row>
    <row r="221" ht="12.75" customHeight="1">
      <c r="H221" s="116"/>
    </row>
    <row r="222" ht="12.75" customHeight="1">
      <c r="H222" s="116"/>
    </row>
    <row r="223" ht="12.75" customHeight="1">
      <c r="H223" s="116"/>
    </row>
    <row r="224" ht="12.75" customHeight="1">
      <c r="H224" s="116"/>
    </row>
    <row r="225" ht="12.75" customHeight="1">
      <c r="H225" s="116"/>
    </row>
    <row r="226" ht="12.75" customHeight="1">
      <c r="H226" s="116"/>
    </row>
    <row r="227" ht="12.75" customHeight="1">
      <c r="H227" s="116"/>
    </row>
    <row r="228" ht="12.75" customHeight="1">
      <c r="H228" s="116"/>
    </row>
    <row r="229" ht="12.75" customHeight="1">
      <c r="H229" s="116"/>
    </row>
    <row r="230" ht="12.75" customHeight="1">
      <c r="H230" s="116"/>
    </row>
    <row r="231" ht="12.75" customHeight="1">
      <c r="H231" s="116"/>
    </row>
    <row r="232" ht="12.75" customHeight="1">
      <c r="H232" s="116"/>
    </row>
    <row r="233" ht="12.75" customHeight="1">
      <c r="H233" s="116"/>
    </row>
    <row r="234" ht="12.75" customHeight="1">
      <c r="H234" s="116"/>
    </row>
    <row r="235" ht="12.75" customHeight="1">
      <c r="H235" s="116"/>
    </row>
    <row r="236" ht="12.75" customHeight="1">
      <c r="H236" s="116"/>
    </row>
    <row r="237" ht="12.75" customHeight="1">
      <c r="H237" s="116"/>
    </row>
    <row r="238" ht="12.75" customHeight="1">
      <c r="H238" s="116"/>
    </row>
    <row r="239" ht="12.75" customHeight="1">
      <c r="H239" s="116"/>
    </row>
    <row r="240" ht="12.75" customHeight="1">
      <c r="H240" s="116"/>
    </row>
    <row r="241" ht="12.75" customHeight="1">
      <c r="H241" s="116"/>
    </row>
    <row r="242" ht="12.75" customHeight="1">
      <c r="H242" s="116"/>
    </row>
    <row r="243" ht="12.75" customHeight="1">
      <c r="H243" s="116"/>
    </row>
    <row r="244" ht="12.75" customHeight="1">
      <c r="H244" s="116"/>
    </row>
    <row r="245" ht="12.75" customHeight="1">
      <c r="H245" s="116"/>
    </row>
    <row r="246" ht="12.75" customHeight="1">
      <c r="H246" s="116"/>
    </row>
    <row r="247" ht="12.75" customHeight="1">
      <c r="H247" s="116"/>
    </row>
    <row r="248" ht="12.75" customHeight="1">
      <c r="H248" s="116"/>
    </row>
    <row r="249" ht="12.75" customHeight="1">
      <c r="H249" s="116"/>
    </row>
    <row r="250" ht="12.75" customHeight="1">
      <c r="H250" s="116"/>
    </row>
    <row r="251" ht="12.75" customHeight="1">
      <c r="H251" s="116"/>
    </row>
    <row r="252" ht="12.75" customHeight="1">
      <c r="H252" s="116"/>
    </row>
    <row r="253" ht="12.75" customHeight="1">
      <c r="H253" s="116"/>
    </row>
    <row r="254" ht="12.75" customHeight="1">
      <c r="H254" s="116"/>
    </row>
    <row r="255" ht="12.75" customHeight="1">
      <c r="H255" s="116"/>
    </row>
    <row r="256" ht="12.75" customHeight="1">
      <c r="H256" s="116"/>
    </row>
    <row r="257" ht="12.75" customHeight="1">
      <c r="H257" s="116"/>
    </row>
    <row r="258" ht="12.75" customHeight="1">
      <c r="H258" s="116"/>
    </row>
    <row r="259" ht="12.75" customHeight="1">
      <c r="H259" s="116"/>
    </row>
    <row r="260" ht="12.75" customHeight="1">
      <c r="H260" s="116"/>
    </row>
    <row r="261" ht="12.75" customHeight="1">
      <c r="H261" s="116"/>
    </row>
    <row r="262" ht="12.75" customHeight="1">
      <c r="H262" s="116"/>
    </row>
    <row r="263" ht="12.75" customHeight="1">
      <c r="H263" s="116"/>
    </row>
    <row r="264" ht="12.75" customHeight="1">
      <c r="H264" s="116"/>
    </row>
    <row r="265" ht="12.75" customHeight="1">
      <c r="H265" s="116"/>
    </row>
    <row r="266" ht="12.75" customHeight="1">
      <c r="H266" s="116"/>
    </row>
    <row r="267" ht="12.75" customHeight="1">
      <c r="H267" s="116"/>
    </row>
    <row r="268" ht="12.75" customHeight="1">
      <c r="H268" s="116"/>
    </row>
    <row r="269" ht="12.75" customHeight="1">
      <c r="H269" s="116"/>
    </row>
    <row r="270" ht="12.75" customHeight="1">
      <c r="H270" s="116"/>
    </row>
    <row r="271" ht="12.75" customHeight="1">
      <c r="H271" s="116"/>
    </row>
    <row r="272" ht="12.75" customHeight="1">
      <c r="H272" s="116"/>
    </row>
    <row r="273" ht="12.75" customHeight="1">
      <c r="H273" s="116"/>
    </row>
    <row r="274" ht="12.75" customHeight="1">
      <c r="H274" s="116"/>
    </row>
    <row r="275" ht="12.75" customHeight="1">
      <c r="H275" s="116"/>
    </row>
    <row r="276" ht="12.75" customHeight="1">
      <c r="H276" s="116"/>
    </row>
    <row r="277" ht="12.75" customHeight="1">
      <c r="H277" s="116"/>
    </row>
    <row r="278" ht="12.75" customHeight="1">
      <c r="H278" s="116"/>
    </row>
    <row r="279" ht="12.75" customHeight="1">
      <c r="H279" s="116"/>
    </row>
    <row r="280" ht="12.75" customHeight="1">
      <c r="H280" s="116"/>
    </row>
    <row r="281" ht="12.75" customHeight="1">
      <c r="H281" s="116"/>
    </row>
    <row r="282" ht="12.75" customHeight="1">
      <c r="H282" s="116"/>
    </row>
    <row r="283" ht="12.75" customHeight="1">
      <c r="H283" s="116"/>
    </row>
    <row r="284" ht="12.75" customHeight="1">
      <c r="H284" s="116"/>
    </row>
    <row r="285" ht="12.75" customHeight="1">
      <c r="H285" s="116"/>
    </row>
    <row r="286" ht="12.75" customHeight="1">
      <c r="H286" s="116"/>
    </row>
    <row r="287" ht="12.75" customHeight="1">
      <c r="H287" s="116"/>
    </row>
    <row r="288" ht="12.75" customHeight="1">
      <c r="H288" s="116"/>
    </row>
    <row r="289" ht="12.75" customHeight="1">
      <c r="H289" s="116"/>
    </row>
    <row r="290" ht="12.75" customHeight="1">
      <c r="H290" s="116"/>
    </row>
    <row r="291" ht="12.75" customHeight="1">
      <c r="H291" s="116"/>
    </row>
    <row r="292" ht="12.75" customHeight="1">
      <c r="H292" s="116"/>
    </row>
    <row r="293" ht="12.75" customHeight="1">
      <c r="H293" s="116"/>
    </row>
    <row r="294" ht="12.75" customHeight="1">
      <c r="H294" s="116"/>
    </row>
    <row r="295" ht="12.75" customHeight="1">
      <c r="H295" s="116"/>
    </row>
    <row r="296" ht="12.75" customHeight="1">
      <c r="H296" s="116"/>
    </row>
    <row r="297" ht="12.75" customHeight="1">
      <c r="H297" s="116"/>
    </row>
    <row r="298" ht="12.75" customHeight="1">
      <c r="H298" s="116"/>
    </row>
    <row r="299" ht="12.75" customHeight="1">
      <c r="H299" s="116"/>
    </row>
    <row r="300" ht="12.75" customHeight="1">
      <c r="H300" s="116"/>
    </row>
    <row r="301" ht="12.75" customHeight="1">
      <c r="H301" s="116"/>
    </row>
    <row r="302" ht="12.75" customHeight="1">
      <c r="H302" s="116"/>
    </row>
    <row r="303" ht="12.75" customHeight="1">
      <c r="H303" s="116"/>
    </row>
    <row r="304" ht="12.75" customHeight="1">
      <c r="H304" s="116"/>
    </row>
    <row r="305" ht="12.75" customHeight="1">
      <c r="H305" s="116"/>
    </row>
    <row r="306" ht="12.75" customHeight="1">
      <c r="H306" s="116"/>
    </row>
    <row r="307" ht="12.75" customHeight="1">
      <c r="H307" s="116"/>
    </row>
    <row r="308" ht="12.75" customHeight="1">
      <c r="H308" s="116"/>
    </row>
    <row r="309" ht="12.75" customHeight="1">
      <c r="H309" s="116"/>
    </row>
    <row r="310" ht="12.75" customHeight="1">
      <c r="H310" s="116"/>
    </row>
    <row r="311" ht="12.75" customHeight="1">
      <c r="H311" s="116"/>
    </row>
    <row r="312" ht="12.75" customHeight="1">
      <c r="H312" s="116"/>
    </row>
    <row r="313" ht="12.75" customHeight="1">
      <c r="H313" s="116"/>
    </row>
    <row r="314" ht="12.75" customHeight="1">
      <c r="H314" s="116"/>
    </row>
    <row r="315" ht="12.75" customHeight="1">
      <c r="H315" s="116"/>
    </row>
    <row r="316" ht="12.75" customHeight="1">
      <c r="H316" s="116"/>
    </row>
    <row r="317" ht="12.75" customHeight="1">
      <c r="H317" s="116"/>
    </row>
    <row r="318" ht="12.75" customHeight="1">
      <c r="H318" s="116"/>
    </row>
    <row r="319" ht="12.75" customHeight="1">
      <c r="H319" s="116"/>
    </row>
    <row r="320" ht="12.75" customHeight="1">
      <c r="H320" s="116"/>
    </row>
    <row r="321" ht="12.75" customHeight="1">
      <c r="H321" s="116"/>
    </row>
    <row r="322" ht="12.75" customHeight="1">
      <c r="H322" s="116"/>
    </row>
    <row r="323" ht="12.75" customHeight="1">
      <c r="H323" s="116"/>
    </row>
    <row r="324" ht="12.75" customHeight="1">
      <c r="H324" s="116"/>
    </row>
    <row r="325" ht="12.75" customHeight="1">
      <c r="H325" s="116"/>
    </row>
    <row r="326" ht="12.75" customHeight="1">
      <c r="H326" s="116"/>
    </row>
    <row r="327" ht="12.75" customHeight="1">
      <c r="H327" s="116"/>
    </row>
    <row r="328" ht="12.75" customHeight="1">
      <c r="H328" s="116"/>
    </row>
    <row r="329" ht="12.75" customHeight="1">
      <c r="H329" s="116"/>
    </row>
    <row r="330" ht="12.75" customHeight="1">
      <c r="H330" s="116"/>
    </row>
    <row r="331" ht="12.75" customHeight="1">
      <c r="H331" s="116"/>
    </row>
    <row r="332" ht="12.75" customHeight="1">
      <c r="H332" s="116"/>
    </row>
    <row r="333" ht="12.75" customHeight="1">
      <c r="H333" s="116"/>
    </row>
    <row r="334" ht="12.75" customHeight="1">
      <c r="H334" s="116"/>
    </row>
    <row r="335" ht="12.75" customHeight="1">
      <c r="H335" s="116"/>
    </row>
    <row r="336" ht="12.75" customHeight="1">
      <c r="H336" s="116"/>
    </row>
    <row r="337" ht="12.75" customHeight="1">
      <c r="H337" s="116"/>
    </row>
    <row r="338" ht="12.75" customHeight="1">
      <c r="H338" s="116"/>
    </row>
    <row r="339" ht="12.75" customHeight="1">
      <c r="H339" s="116"/>
    </row>
    <row r="340" ht="12.75" customHeight="1">
      <c r="H340" s="116"/>
    </row>
    <row r="341" ht="12.75" customHeight="1">
      <c r="H341" s="116"/>
    </row>
    <row r="342" ht="12.75" customHeight="1">
      <c r="H342" s="116"/>
    </row>
    <row r="343" ht="12.75" customHeight="1">
      <c r="H343" s="116"/>
    </row>
    <row r="344" ht="12.75" customHeight="1">
      <c r="H344" s="116"/>
    </row>
    <row r="345" ht="12.75" customHeight="1">
      <c r="H345" s="116"/>
    </row>
    <row r="346" ht="12.75" customHeight="1">
      <c r="H346" s="116"/>
    </row>
    <row r="347" ht="12.75" customHeight="1">
      <c r="H347" s="116"/>
    </row>
    <row r="348" ht="12.75" customHeight="1">
      <c r="H348" s="116"/>
    </row>
    <row r="349" ht="12.75" customHeight="1">
      <c r="H349" s="116"/>
    </row>
    <row r="350" ht="12.75" customHeight="1">
      <c r="H350" s="116"/>
    </row>
    <row r="351" ht="12.75" customHeight="1">
      <c r="H351" s="116"/>
    </row>
    <row r="352" ht="12.75" customHeight="1">
      <c r="H352" s="116"/>
    </row>
    <row r="353" ht="12.75" customHeight="1">
      <c r="H353" s="116"/>
    </row>
    <row r="354" ht="12.75" customHeight="1">
      <c r="H354" s="116"/>
    </row>
    <row r="355" ht="12.75" customHeight="1">
      <c r="H355" s="116"/>
    </row>
    <row r="356" ht="12.75" customHeight="1">
      <c r="H356" s="116"/>
    </row>
    <row r="357" ht="12.75" customHeight="1">
      <c r="H357" s="116"/>
    </row>
    <row r="358" ht="12.75" customHeight="1">
      <c r="H358" s="116"/>
    </row>
    <row r="359" ht="12.75" customHeight="1">
      <c r="H359" s="116"/>
    </row>
    <row r="360" ht="12.75" customHeight="1">
      <c r="H360" s="116"/>
    </row>
    <row r="361" ht="12.75" customHeight="1">
      <c r="H361" s="116"/>
    </row>
    <row r="362" ht="12.75" customHeight="1">
      <c r="H362" s="116"/>
    </row>
    <row r="363" ht="12.75" customHeight="1">
      <c r="H363" s="116"/>
    </row>
    <row r="364" ht="12.75" customHeight="1">
      <c r="H364" s="116"/>
    </row>
    <row r="365" ht="12.75" customHeight="1">
      <c r="H365" s="116"/>
    </row>
    <row r="366" ht="12.75" customHeight="1">
      <c r="H366" s="116"/>
    </row>
    <row r="367" ht="12.75" customHeight="1">
      <c r="H367" s="116"/>
    </row>
    <row r="368" ht="12.75" customHeight="1">
      <c r="H368" s="116"/>
    </row>
    <row r="369" ht="12.75" customHeight="1">
      <c r="H369" s="116"/>
    </row>
    <row r="370" ht="12.75" customHeight="1">
      <c r="H370" s="116"/>
    </row>
    <row r="371" ht="12.75" customHeight="1">
      <c r="H371" s="116"/>
    </row>
    <row r="372" ht="12.75" customHeight="1">
      <c r="H372" s="116"/>
    </row>
    <row r="373" ht="12.75" customHeight="1">
      <c r="H373" s="116"/>
    </row>
    <row r="374" ht="12.75" customHeight="1">
      <c r="H374" s="116"/>
    </row>
    <row r="375" ht="12.75" customHeight="1">
      <c r="H375" s="116"/>
    </row>
    <row r="376" ht="12.75" customHeight="1">
      <c r="H376" s="116"/>
    </row>
    <row r="377" ht="12.75" customHeight="1">
      <c r="H377" s="116"/>
    </row>
    <row r="378" ht="12.75" customHeight="1">
      <c r="H378" s="116"/>
    </row>
    <row r="379" ht="12.75" customHeight="1">
      <c r="H379" s="116"/>
    </row>
    <row r="380" ht="12.75" customHeight="1">
      <c r="H380" s="116"/>
    </row>
    <row r="381" ht="12.75" customHeight="1">
      <c r="H381" s="116"/>
    </row>
    <row r="382" ht="12.75" customHeight="1">
      <c r="H382" s="116"/>
    </row>
    <row r="383" ht="12.75" customHeight="1">
      <c r="H383" s="116"/>
    </row>
    <row r="384" ht="12.75" customHeight="1">
      <c r="H384" s="116"/>
    </row>
    <row r="385" ht="12.75" customHeight="1">
      <c r="H385" s="116"/>
    </row>
    <row r="386" ht="12.75" customHeight="1">
      <c r="H386" s="116"/>
    </row>
    <row r="387" ht="12.75" customHeight="1">
      <c r="H387" s="116"/>
    </row>
    <row r="388" ht="12.75" customHeight="1">
      <c r="H388" s="116"/>
    </row>
    <row r="389" ht="12.75" customHeight="1">
      <c r="H389" s="116"/>
    </row>
    <row r="390" ht="12.75" customHeight="1">
      <c r="H390" s="116"/>
    </row>
    <row r="391" ht="12.75" customHeight="1">
      <c r="H391" s="116"/>
    </row>
    <row r="392" ht="12.75" customHeight="1">
      <c r="H392" s="116"/>
    </row>
    <row r="393" ht="12.75" customHeight="1">
      <c r="H393" s="116"/>
    </row>
    <row r="394" ht="12.75" customHeight="1">
      <c r="H394" s="116"/>
    </row>
    <row r="395" ht="12.75" customHeight="1">
      <c r="H395" s="116"/>
    </row>
    <row r="396" ht="12.75" customHeight="1">
      <c r="H396" s="116"/>
    </row>
    <row r="397" ht="12.75" customHeight="1">
      <c r="H397" s="116"/>
    </row>
    <row r="398" ht="12.75" customHeight="1">
      <c r="H398" s="116"/>
    </row>
    <row r="399" ht="12.75" customHeight="1">
      <c r="H399" s="116"/>
    </row>
    <row r="400" ht="12.75" customHeight="1">
      <c r="H400" s="116"/>
    </row>
    <row r="401" ht="12.75" customHeight="1">
      <c r="H401" s="116"/>
    </row>
    <row r="402" ht="12.75" customHeight="1">
      <c r="H402" s="116"/>
    </row>
    <row r="403" ht="12.75" customHeight="1">
      <c r="H403" s="116"/>
    </row>
    <row r="404" ht="12.75" customHeight="1">
      <c r="H404" s="116"/>
    </row>
    <row r="405" ht="12.75" customHeight="1">
      <c r="H405" s="116"/>
    </row>
    <row r="406" ht="12.75" customHeight="1">
      <c r="H406" s="116"/>
    </row>
    <row r="407" ht="12.75" customHeight="1">
      <c r="H407" s="116"/>
    </row>
    <row r="408" ht="12.75" customHeight="1">
      <c r="H408" s="116"/>
    </row>
    <row r="409" ht="12.75" customHeight="1">
      <c r="H409" s="116"/>
    </row>
    <row r="410" ht="12.75" customHeight="1">
      <c r="H410" s="116"/>
    </row>
    <row r="411" ht="12.75" customHeight="1">
      <c r="H411" s="116"/>
    </row>
    <row r="412" ht="12.75" customHeight="1">
      <c r="H412" s="116"/>
    </row>
    <row r="413" ht="12.75" customHeight="1">
      <c r="H413" s="116"/>
    </row>
    <row r="414" ht="12.75" customHeight="1">
      <c r="H414" s="116"/>
    </row>
    <row r="415" ht="12.75" customHeight="1">
      <c r="H415" s="116"/>
    </row>
    <row r="416" ht="12.75" customHeight="1">
      <c r="H416" s="116"/>
    </row>
    <row r="417" ht="12.75" customHeight="1">
      <c r="H417" s="116"/>
    </row>
    <row r="418" ht="12.75" customHeight="1">
      <c r="H418" s="116"/>
    </row>
    <row r="419" ht="12.75" customHeight="1">
      <c r="H419" s="116"/>
    </row>
    <row r="420" ht="12.75" customHeight="1">
      <c r="H420" s="116"/>
    </row>
    <row r="421" ht="12.75" customHeight="1">
      <c r="H421" s="116"/>
    </row>
    <row r="422" ht="12.75" customHeight="1">
      <c r="H422" s="116"/>
    </row>
    <row r="423" ht="12.75" customHeight="1">
      <c r="H423" s="116"/>
    </row>
    <row r="424" ht="12.75" customHeight="1">
      <c r="H424" s="116"/>
    </row>
    <row r="425" ht="12.75" customHeight="1">
      <c r="H425" s="116"/>
    </row>
    <row r="426" ht="12.75" customHeight="1">
      <c r="H426" s="116"/>
    </row>
    <row r="427" ht="12.75" customHeight="1">
      <c r="H427" s="116"/>
    </row>
    <row r="428" ht="12.75" customHeight="1">
      <c r="H428" s="116"/>
    </row>
    <row r="429" ht="12.75" customHeight="1">
      <c r="H429" s="116"/>
    </row>
    <row r="430" ht="12.75" customHeight="1">
      <c r="H430" s="116"/>
    </row>
    <row r="431" ht="12.75" customHeight="1">
      <c r="H431" s="116"/>
    </row>
    <row r="432" ht="12.75" customHeight="1">
      <c r="H432" s="116"/>
    </row>
    <row r="433" ht="12.75" customHeight="1">
      <c r="H433" s="116"/>
    </row>
    <row r="434" ht="12.75" customHeight="1">
      <c r="H434" s="116"/>
    </row>
    <row r="435" ht="12.75" customHeight="1">
      <c r="H435" s="116"/>
    </row>
    <row r="436" ht="12.75" customHeight="1">
      <c r="H436" s="116"/>
    </row>
    <row r="437" ht="12.75" customHeight="1">
      <c r="H437" s="116"/>
    </row>
    <row r="438" ht="12.75" customHeight="1">
      <c r="H438" s="116"/>
    </row>
    <row r="439" ht="12.75" customHeight="1">
      <c r="H439" s="116"/>
    </row>
    <row r="440" ht="12.75" customHeight="1">
      <c r="H440" s="116"/>
    </row>
    <row r="441" ht="12.75" customHeight="1">
      <c r="H441" s="116"/>
    </row>
    <row r="442" ht="12.75" customHeight="1">
      <c r="H442" s="116"/>
    </row>
    <row r="443" ht="12.75" customHeight="1">
      <c r="H443" s="116"/>
    </row>
    <row r="444" ht="12.75" customHeight="1">
      <c r="H444" s="116"/>
    </row>
    <row r="445" ht="12.75" customHeight="1">
      <c r="H445" s="116"/>
    </row>
    <row r="446" ht="12.75" customHeight="1">
      <c r="H446" s="116"/>
    </row>
    <row r="447" ht="12.75" customHeight="1">
      <c r="H447" s="116"/>
    </row>
    <row r="448" ht="12.75" customHeight="1">
      <c r="H448" s="116"/>
    </row>
    <row r="449" ht="12.75" customHeight="1">
      <c r="H449" s="116"/>
    </row>
    <row r="450" ht="12.75" customHeight="1">
      <c r="H450" s="116"/>
    </row>
    <row r="451" ht="12.75" customHeight="1">
      <c r="H451" s="116"/>
    </row>
    <row r="452" ht="12.75" customHeight="1">
      <c r="H452" s="116"/>
    </row>
    <row r="453" ht="12.75" customHeight="1">
      <c r="H453" s="116"/>
    </row>
    <row r="454" ht="12.75" customHeight="1">
      <c r="H454" s="116"/>
    </row>
    <row r="455" ht="12.75" customHeight="1">
      <c r="H455" s="116"/>
    </row>
    <row r="456" ht="12.75" customHeight="1">
      <c r="H456" s="116"/>
    </row>
    <row r="457" ht="12.75" customHeight="1">
      <c r="H457" s="116"/>
    </row>
    <row r="458" ht="12.75" customHeight="1">
      <c r="H458" s="116"/>
    </row>
    <row r="459" ht="12.75" customHeight="1">
      <c r="H459" s="116"/>
    </row>
    <row r="460" ht="12.75" customHeight="1">
      <c r="H460" s="116"/>
    </row>
    <row r="461" ht="12.75" customHeight="1">
      <c r="H461" s="116"/>
    </row>
    <row r="462" ht="12.75" customHeight="1">
      <c r="H462" s="116"/>
    </row>
    <row r="463" ht="12.75" customHeight="1">
      <c r="H463" s="116"/>
    </row>
    <row r="464" ht="12.75" customHeight="1">
      <c r="H464" s="116"/>
    </row>
    <row r="465" ht="12.75" customHeight="1">
      <c r="H465" s="116"/>
    </row>
    <row r="466" ht="12.75" customHeight="1">
      <c r="H466" s="116"/>
    </row>
    <row r="467" ht="12.75" customHeight="1">
      <c r="H467" s="116"/>
    </row>
    <row r="468" ht="12.75" customHeight="1">
      <c r="H468" s="116"/>
    </row>
    <row r="469" ht="12.75" customHeight="1">
      <c r="H469" s="116"/>
    </row>
    <row r="470" ht="12.75" customHeight="1">
      <c r="H470" s="116"/>
    </row>
    <row r="471" ht="12.75" customHeight="1">
      <c r="H471" s="116"/>
    </row>
    <row r="472" ht="12.75" customHeight="1">
      <c r="H472" s="116"/>
    </row>
    <row r="473" ht="12.75" customHeight="1">
      <c r="H473" s="116"/>
    </row>
    <row r="474" ht="12.75" customHeight="1">
      <c r="H474" s="116"/>
    </row>
    <row r="475" ht="12.75" customHeight="1">
      <c r="H475" s="116"/>
    </row>
    <row r="476" ht="12.75" customHeight="1">
      <c r="H476" s="116"/>
    </row>
    <row r="477" ht="12.75" customHeight="1">
      <c r="H477" s="116"/>
    </row>
    <row r="478" ht="12.75" customHeight="1">
      <c r="H478" s="116"/>
    </row>
    <row r="479" ht="12.75" customHeight="1">
      <c r="H479" s="116"/>
    </row>
    <row r="480" ht="12.75" customHeight="1">
      <c r="H480" s="116"/>
    </row>
    <row r="481" ht="12.75" customHeight="1">
      <c r="H481" s="116"/>
    </row>
    <row r="482" ht="12.75" customHeight="1">
      <c r="H482" s="116"/>
    </row>
    <row r="483" ht="12.75" customHeight="1">
      <c r="H483" s="116"/>
    </row>
    <row r="484" ht="12.75" customHeight="1">
      <c r="H484" s="116"/>
    </row>
    <row r="485" ht="12.75" customHeight="1">
      <c r="H485" s="116"/>
    </row>
    <row r="486" ht="12.75" customHeight="1">
      <c r="H486" s="116"/>
    </row>
    <row r="487" ht="12.75" customHeight="1">
      <c r="H487" s="116"/>
    </row>
    <row r="488" ht="12.75" customHeight="1">
      <c r="H488" s="116"/>
    </row>
    <row r="489" ht="12.75" customHeight="1">
      <c r="H489" s="116"/>
    </row>
    <row r="490" ht="12.75" customHeight="1">
      <c r="H490" s="116"/>
    </row>
    <row r="491" ht="12.75" customHeight="1">
      <c r="H491" s="116"/>
    </row>
    <row r="492" ht="12.75" customHeight="1">
      <c r="H492" s="116"/>
    </row>
    <row r="493" ht="12.75" customHeight="1">
      <c r="H493" s="116"/>
    </row>
    <row r="494" ht="12.75" customHeight="1">
      <c r="H494" s="116"/>
    </row>
    <row r="495" ht="12.75" customHeight="1">
      <c r="H495" s="116"/>
    </row>
    <row r="496" ht="12.75" customHeight="1">
      <c r="H496" s="116"/>
    </row>
    <row r="497" ht="12.75" customHeight="1">
      <c r="H497" s="116"/>
    </row>
    <row r="498" ht="12.75" customHeight="1">
      <c r="H498" s="116"/>
    </row>
    <row r="499" ht="12.75" customHeight="1">
      <c r="H499" s="116"/>
    </row>
    <row r="500" ht="12.75" customHeight="1">
      <c r="H500" s="116"/>
    </row>
    <row r="501" ht="12.75" customHeight="1">
      <c r="H501" s="116"/>
    </row>
    <row r="502" ht="12.75" customHeight="1">
      <c r="H502" s="116"/>
    </row>
    <row r="503" ht="12.75" customHeight="1">
      <c r="H503" s="116"/>
    </row>
    <row r="504" ht="12.75" customHeight="1">
      <c r="H504" s="116"/>
    </row>
    <row r="505" ht="12.75" customHeight="1">
      <c r="H505" s="116"/>
    </row>
    <row r="506" ht="12.75" customHeight="1">
      <c r="H506" s="116"/>
    </row>
    <row r="507" ht="12.75" customHeight="1">
      <c r="H507" s="116"/>
    </row>
    <row r="508" ht="12.75" customHeight="1">
      <c r="H508" s="116"/>
    </row>
    <row r="509" ht="12.75" customHeight="1">
      <c r="H509" s="116"/>
    </row>
    <row r="510" ht="12.75" customHeight="1">
      <c r="H510" s="116"/>
    </row>
    <row r="511" ht="12.75" customHeight="1">
      <c r="H511" s="116"/>
    </row>
    <row r="512" ht="12.75" customHeight="1">
      <c r="H512" s="116"/>
    </row>
    <row r="513" ht="12.75" customHeight="1">
      <c r="H513" s="116"/>
    </row>
    <row r="514" ht="12.75" customHeight="1">
      <c r="H514" s="116"/>
    </row>
    <row r="515" ht="12.75" customHeight="1">
      <c r="H515" s="116"/>
    </row>
    <row r="516" ht="12.75" customHeight="1">
      <c r="H516" s="116"/>
    </row>
    <row r="517" ht="12.75" customHeight="1">
      <c r="H517" s="116"/>
    </row>
    <row r="518" ht="12.75" customHeight="1">
      <c r="H518" s="116"/>
    </row>
    <row r="519" ht="12.75" customHeight="1">
      <c r="H519" s="116"/>
    </row>
    <row r="520" ht="12.75" customHeight="1">
      <c r="H520" s="116"/>
    </row>
    <row r="521" ht="12.75" customHeight="1">
      <c r="H521" s="116"/>
    </row>
    <row r="522" ht="12.75" customHeight="1">
      <c r="H522" s="116"/>
    </row>
    <row r="523" ht="12.75" customHeight="1">
      <c r="H523" s="116"/>
    </row>
    <row r="524" ht="12.75" customHeight="1">
      <c r="H524" s="116"/>
    </row>
    <row r="525" ht="12.75" customHeight="1">
      <c r="H525" s="116"/>
    </row>
    <row r="526" ht="12.75" customHeight="1">
      <c r="H526" s="116"/>
    </row>
    <row r="527" ht="12.75" customHeight="1">
      <c r="H527" s="116"/>
    </row>
    <row r="528" ht="12.75" customHeight="1">
      <c r="H528" s="116"/>
    </row>
    <row r="529" ht="12.75" customHeight="1">
      <c r="H529" s="116"/>
    </row>
    <row r="530" ht="12.75" customHeight="1">
      <c r="H530" s="116"/>
    </row>
    <row r="531" ht="12.75" customHeight="1">
      <c r="H531" s="116"/>
    </row>
    <row r="532" ht="12.75" customHeight="1">
      <c r="H532" s="116"/>
    </row>
    <row r="533" ht="12.75" customHeight="1">
      <c r="H533" s="116"/>
    </row>
    <row r="534" ht="12.75" customHeight="1">
      <c r="H534" s="116"/>
    </row>
    <row r="535" ht="12.75" customHeight="1">
      <c r="H535" s="116"/>
    </row>
    <row r="536" ht="12.75" customHeight="1">
      <c r="H536" s="116"/>
    </row>
    <row r="537" ht="12.75" customHeight="1">
      <c r="H537" s="116"/>
    </row>
    <row r="538" ht="12.75" customHeight="1">
      <c r="H538" s="116"/>
    </row>
    <row r="539" ht="12.75" customHeight="1">
      <c r="H539" s="116"/>
    </row>
    <row r="540" ht="12.75" customHeight="1">
      <c r="H540" s="116"/>
    </row>
    <row r="541" ht="12.75" customHeight="1">
      <c r="H541" s="116"/>
    </row>
    <row r="542" ht="12.75" customHeight="1">
      <c r="H542" s="116"/>
    </row>
    <row r="543" ht="12.75" customHeight="1">
      <c r="H543" s="116"/>
    </row>
    <row r="544" ht="12.75" customHeight="1">
      <c r="H544" s="116"/>
    </row>
    <row r="545" ht="12.75" customHeight="1">
      <c r="H545" s="116"/>
    </row>
    <row r="546" ht="12.75" customHeight="1">
      <c r="H546" s="116"/>
    </row>
    <row r="547" ht="12.75" customHeight="1">
      <c r="H547" s="116"/>
    </row>
    <row r="548" ht="12.75" customHeight="1">
      <c r="H548" s="116"/>
    </row>
    <row r="549" ht="12.75" customHeight="1">
      <c r="H549" s="116"/>
    </row>
    <row r="550" ht="12.75" customHeight="1">
      <c r="H550" s="116"/>
    </row>
    <row r="551" ht="12.75" customHeight="1">
      <c r="H551" s="116"/>
    </row>
    <row r="552" ht="12.75" customHeight="1">
      <c r="H552" s="116"/>
    </row>
    <row r="553" ht="12.75" customHeight="1">
      <c r="H553" s="116"/>
    </row>
    <row r="554" ht="12.75" customHeight="1">
      <c r="H554" s="116"/>
    </row>
    <row r="555" ht="12.75" customHeight="1">
      <c r="H555" s="116"/>
    </row>
    <row r="556" ht="12.75" customHeight="1">
      <c r="H556" s="116"/>
    </row>
    <row r="557" ht="12.75" customHeight="1">
      <c r="H557" s="116"/>
    </row>
    <row r="558" ht="12.75" customHeight="1">
      <c r="H558" s="116"/>
    </row>
    <row r="559" ht="12.75" customHeight="1">
      <c r="H559" s="116"/>
    </row>
    <row r="560" ht="12.75" customHeight="1">
      <c r="H560" s="116"/>
    </row>
    <row r="561" ht="12.75" customHeight="1">
      <c r="H561" s="116"/>
    </row>
    <row r="562" ht="12.75" customHeight="1">
      <c r="H562" s="116"/>
    </row>
    <row r="563" ht="12.75" customHeight="1">
      <c r="H563" s="116"/>
    </row>
    <row r="564" ht="12.75" customHeight="1">
      <c r="H564" s="116"/>
    </row>
    <row r="565" ht="12.75" customHeight="1">
      <c r="H565" s="116"/>
    </row>
    <row r="566" ht="12.75" customHeight="1">
      <c r="H566" s="116"/>
    </row>
    <row r="567" ht="12.75" customHeight="1">
      <c r="H567" s="116"/>
    </row>
    <row r="568" ht="12.75" customHeight="1">
      <c r="H568" s="116"/>
    </row>
    <row r="569" ht="12.75" customHeight="1">
      <c r="H569" s="116"/>
    </row>
    <row r="570" ht="12.75" customHeight="1">
      <c r="H570" s="116"/>
    </row>
    <row r="571" ht="12.75" customHeight="1">
      <c r="H571" s="116"/>
    </row>
    <row r="572" ht="12.75" customHeight="1">
      <c r="H572" s="116"/>
    </row>
    <row r="573" ht="12.75" customHeight="1">
      <c r="H573" s="116"/>
    </row>
    <row r="574" ht="12.75" customHeight="1">
      <c r="H574" s="116"/>
    </row>
    <row r="575" ht="12.75" customHeight="1">
      <c r="H575" s="116"/>
    </row>
    <row r="576" ht="12.75" customHeight="1">
      <c r="H576" s="116"/>
    </row>
    <row r="577" ht="12.75" customHeight="1">
      <c r="H577" s="116"/>
    </row>
    <row r="578" ht="12.75" customHeight="1">
      <c r="H578" s="116"/>
    </row>
    <row r="579" ht="12.75" customHeight="1">
      <c r="H579" s="116"/>
    </row>
    <row r="580" ht="12.75" customHeight="1">
      <c r="H580" s="116"/>
    </row>
    <row r="581" ht="12.75" customHeight="1">
      <c r="H581" s="116"/>
    </row>
    <row r="582" ht="12.75" customHeight="1">
      <c r="H582" s="116"/>
    </row>
    <row r="583" ht="12.75" customHeight="1">
      <c r="H583" s="116"/>
    </row>
    <row r="584" ht="12.75" customHeight="1">
      <c r="H584" s="116"/>
    </row>
    <row r="585" ht="12.75" customHeight="1">
      <c r="H585" s="116"/>
    </row>
    <row r="586" ht="12.75" customHeight="1">
      <c r="H586" s="116"/>
    </row>
    <row r="587" ht="12.75" customHeight="1">
      <c r="H587" s="116"/>
    </row>
    <row r="588" ht="12.75" customHeight="1">
      <c r="H588" s="116"/>
    </row>
    <row r="589" ht="12.75" customHeight="1">
      <c r="H589" s="116"/>
    </row>
    <row r="590" ht="12.75" customHeight="1">
      <c r="H590" s="116"/>
    </row>
    <row r="591" ht="12.75" customHeight="1">
      <c r="H591" s="116"/>
    </row>
    <row r="592" ht="12.75" customHeight="1">
      <c r="H592" s="116"/>
    </row>
    <row r="593" ht="12.75" customHeight="1">
      <c r="H593" s="116"/>
    </row>
    <row r="594" ht="12.75" customHeight="1">
      <c r="H594" s="116"/>
    </row>
    <row r="595" ht="12.75" customHeight="1">
      <c r="H595" s="116"/>
    </row>
    <row r="596" ht="12.75" customHeight="1">
      <c r="H596" s="116"/>
    </row>
    <row r="597" ht="12.75" customHeight="1">
      <c r="H597" s="116"/>
    </row>
    <row r="598" ht="12.75" customHeight="1">
      <c r="H598" s="116"/>
    </row>
    <row r="599" ht="12.75" customHeight="1">
      <c r="H599" s="116"/>
    </row>
    <row r="600" ht="12.75" customHeight="1">
      <c r="H600" s="116"/>
    </row>
    <row r="601" ht="12.75" customHeight="1">
      <c r="H601" s="116"/>
    </row>
    <row r="602" ht="12.75" customHeight="1">
      <c r="H602" s="116"/>
    </row>
    <row r="603" ht="12.75" customHeight="1">
      <c r="H603" s="116"/>
    </row>
    <row r="604" ht="12.75" customHeight="1">
      <c r="H604" s="116"/>
    </row>
    <row r="605" ht="12.75" customHeight="1">
      <c r="H605" s="116"/>
    </row>
    <row r="606" ht="12.75" customHeight="1">
      <c r="H606" s="116"/>
    </row>
    <row r="607" ht="12.75" customHeight="1">
      <c r="H607" s="116"/>
    </row>
    <row r="608" ht="12.75" customHeight="1">
      <c r="H608" s="116"/>
    </row>
    <row r="609" ht="12.75" customHeight="1">
      <c r="H609" s="116"/>
    </row>
    <row r="610" ht="12.75" customHeight="1">
      <c r="H610" s="116"/>
    </row>
    <row r="611" ht="12.75" customHeight="1">
      <c r="H611" s="116"/>
    </row>
    <row r="612" ht="12.75" customHeight="1">
      <c r="H612" s="116"/>
    </row>
    <row r="613" ht="12.75" customHeight="1">
      <c r="H613" s="116"/>
    </row>
    <row r="614" ht="12.75" customHeight="1">
      <c r="H614" s="116"/>
    </row>
    <row r="615" ht="12.75" customHeight="1">
      <c r="H615" s="116"/>
    </row>
    <row r="616" ht="12.75" customHeight="1">
      <c r="H616" s="116"/>
    </row>
    <row r="617" ht="12.75" customHeight="1">
      <c r="H617" s="116"/>
    </row>
    <row r="618" ht="12.75" customHeight="1">
      <c r="H618" s="116"/>
    </row>
    <row r="619" ht="12.75" customHeight="1">
      <c r="H619" s="116"/>
    </row>
    <row r="620" ht="12.75" customHeight="1">
      <c r="H620" s="116"/>
    </row>
    <row r="621" ht="12.75" customHeight="1">
      <c r="H621" s="116"/>
    </row>
    <row r="622" ht="12.75" customHeight="1">
      <c r="H622" s="116"/>
    </row>
    <row r="623" ht="12.75" customHeight="1">
      <c r="H623" s="116"/>
    </row>
    <row r="624" ht="12.75" customHeight="1">
      <c r="H624" s="116"/>
    </row>
    <row r="625" ht="12.75" customHeight="1">
      <c r="H625" s="116"/>
    </row>
    <row r="626" ht="12.75" customHeight="1">
      <c r="H626" s="116"/>
    </row>
    <row r="627" ht="12.75" customHeight="1">
      <c r="H627" s="116"/>
    </row>
    <row r="628" ht="12.75" customHeight="1">
      <c r="H628" s="116"/>
    </row>
    <row r="629" ht="12.75" customHeight="1">
      <c r="H629" s="116"/>
    </row>
    <row r="630" ht="12.75" customHeight="1">
      <c r="H630" s="116"/>
    </row>
    <row r="631" ht="12.75" customHeight="1">
      <c r="H631" s="116"/>
    </row>
    <row r="632" ht="12.75" customHeight="1">
      <c r="H632" s="116"/>
    </row>
    <row r="633" ht="12.75" customHeight="1">
      <c r="H633" s="116"/>
    </row>
    <row r="634" ht="12.75" customHeight="1">
      <c r="H634" s="116"/>
    </row>
    <row r="635" ht="12.75" customHeight="1">
      <c r="H635" s="116"/>
    </row>
    <row r="636" ht="12.75" customHeight="1">
      <c r="H636" s="116"/>
    </row>
    <row r="637" ht="12.75" customHeight="1">
      <c r="H637" s="116"/>
    </row>
    <row r="638" ht="12.75" customHeight="1">
      <c r="H638" s="116"/>
    </row>
    <row r="639" ht="12.75" customHeight="1">
      <c r="H639" s="116"/>
    </row>
    <row r="640" ht="12.75" customHeight="1">
      <c r="H640" s="116"/>
    </row>
    <row r="641" ht="12.75" customHeight="1">
      <c r="H641" s="116"/>
    </row>
    <row r="642" ht="12.75" customHeight="1">
      <c r="H642" s="116"/>
    </row>
    <row r="643" ht="12.75" customHeight="1">
      <c r="H643" s="116"/>
    </row>
    <row r="644" ht="12.75" customHeight="1">
      <c r="H644" s="116"/>
    </row>
    <row r="645" ht="12.75" customHeight="1">
      <c r="H645" s="116"/>
    </row>
    <row r="646" ht="12.75" customHeight="1">
      <c r="H646" s="116"/>
    </row>
    <row r="647" ht="12.75" customHeight="1">
      <c r="H647" s="116"/>
    </row>
    <row r="648" ht="12.75" customHeight="1">
      <c r="H648" s="116"/>
    </row>
    <row r="649" ht="12.75" customHeight="1">
      <c r="H649" s="116"/>
    </row>
    <row r="650" ht="12.75" customHeight="1">
      <c r="H650" s="116"/>
    </row>
    <row r="651" ht="12.75" customHeight="1">
      <c r="H651" s="116"/>
    </row>
    <row r="652" ht="12.75" customHeight="1">
      <c r="H652" s="116"/>
    </row>
    <row r="653" ht="12.75" customHeight="1">
      <c r="H653" s="116"/>
    </row>
    <row r="654" ht="12.75" customHeight="1">
      <c r="H654" s="116"/>
    </row>
    <row r="655" ht="12.75" customHeight="1">
      <c r="H655" s="116"/>
    </row>
    <row r="656" ht="12.75" customHeight="1">
      <c r="H656" s="116"/>
    </row>
    <row r="657" ht="12.75" customHeight="1">
      <c r="H657" s="116"/>
    </row>
    <row r="658" ht="12.75" customHeight="1">
      <c r="H658" s="116"/>
    </row>
    <row r="659" ht="12.75" customHeight="1">
      <c r="H659" s="116"/>
    </row>
    <row r="660" ht="12.75" customHeight="1">
      <c r="H660" s="116"/>
    </row>
    <row r="661" ht="12.75" customHeight="1">
      <c r="H661" s="116"/>
    </row>
    <row r="662" ht="12.75" customHeight="1">
      <c r="H662" s="116"/>
    </row>
    <row r="663" ht="12.75" customHeight="1">
      <c r="H663" s="116"/>
    </row>
    <row r="664" ht="12.75" customHeight="1">
      <c r="H664" s="116"/>
    </row>
    <row r="665" ht="12.75" customHeight="1">
      <c r="H665" s="116"/>
    </row>
    <row r="666" ht="12.75" customHeight="1">
      <c r="H666" s="116"/>
    </row>
    <row r="667" ht="12.75" customHeight="1">
      <c r="H667" s="116"/>
    </row>
    <row r="668" ht="12.75" customHeight="1">
      <c r="H668" s="116"/>
    </row>
    <row r="669" ht="12.75" customHeight="1">
      <c r="H669" s="116"/>
    </row>
    <row r="670" ht="12.75" customHeight="1">
      <c r="H670" s="116"/>
    </row>
    <row r="671" ht="12.75" customHeight="1">
      <c r="H671" s="116"/>
    </row>
    <row r="672" ht="12.75" customHeight="1">
      <c r="H672" s="116"/>
    </row>
    <row r="673" ht="12.75" customHeight="1">
      <c r="H673" s="116"/>
    </row>
    <row r="674" ht="12.75" customHeight="1">
      <c r="H674" s="116"/>
    </row>
    <row r="675" ht="12.75" customHeight="1">
      <c r="H675" s="116"/>
    </row>
    <row r="676" ht="12.75" customHeight="1">
      <c r="H676" s="116"/>
    </row>
    <row r="677" ht="12.75" customHeight="1">
      <c r="H677" s="116"/>
    </row>
    <row r="678" ht="12.75" customHeight="1">
      <c r="H678" s="116"/>
    </row>
    <row r="679" ht="12.75" customHeight="1">
      <c r="H679" s="116"/>
    </row>
    <row r="680" ht="12.75" customHeight="1">
      <c r="H680" s="116"/>
    </row>
    <row r="681" ht="12.75" customHeight="1">
      <c r="H681" s="116"/>
    </row>
    <row r="682" ht="12.75" customHeight="1">
      <c r="H682" s="116"/>
    </row>
    <row r="683" ht="12.75" customHeight="1">
      <c r="H683" s="116"/>
    </row>
    <row r="684" ht="12.75" customHeight="1">
      <c r="H684" s="116"/>
    </row>
    <row r="685" ht="12.75" customHeight="1">
      <c r="H685" s="116"/>
    </row>
    <row r="686" ht="12.75" customHeight="1">
      <c r="H686" s="116"/>
    </row>
    <row r="687" ht="12.75" customHeight="1">
      <c r="H687" s="116"/>
    </row>
    <row r="688" ht="12.75" customHeight="1">
      <c r="H688" s="116"/>
    </row>
    <row r="689" ht="12.75" customHeight="1">
      <c r="H689" s="116"/>
    </row>
    <row r="690" ht="12.75" customHeight="1">
      <c r="H690" s="116"/>
    </row>
    <row r="691" ht="12.75" customHeight="1">
      <c r="H691" s="116"/>
    </row>
    <row r="692" ht="12.75" customHeight="1">
      <c r="H692" s="116"/>
    </row>
    <row r="693" ht="12.75" customHeight="1">
      <c r="H693" s="116"/>
    </row>
    <row r="694" ht="12.75" customHeight="1">
      <c r="H694" s="116"/>
    </row>
    <row r="695" ht="12.75" customHeight="1">
      <c r="H695" s="116"/>
    </row>
    <row r="696" ht="12.75" customHeight="1">
      <c r="H696" s="116"/>
    </row>
    <row r="697" ht="12.75" customHeight="1">
      <c r="H697" s="116"/>
    </row>
    <row r="698" ht="12.75" customHeight="1">
      <c r="H698" s="116"/>
    </row>
    <row r="699" ht="12.75" customHeight="1">
      <c r="H699" s="116"/>
    </row>
    <row r="700" ht="12.75" customHeight="1">
      <c r="H700" s="116"/>
    </row>
    <row r="701" ht="12.75" customHeight="1">
      <c r="H701" s="116"/>
    </row>
    <row r="702" ht="12.75" customHeight="1">
      <c r="H702" s="116"/>
    </row>
    <row r="703" ht="12.75" customHeight="1">
      <c r="H703" s="116"/>
    </row>
    <row r="704" ht="12.75" customHeight="1">
      <c r="H704" s="116"/>
    </row>
    <row r="705" ht="12.75" customHeight="1">
      <c r="H705" s="116"/>
    </row>
    <row r="706" ht="12.75" customHeight="1">
      <c r="H706" s="116"/>
    </row>
    <row r="707" ht="12.75" customHeight="1">
      <c r="H707" s="116"/>
    </row>
    <row r="708" ht="12.75" customHeight="1">
      <c r="H708" s="116"/>
    </row>
    <row r="709" ht="12.75" customHeight="1">
      <c r="H709" s="116"/>
    </row>
    <row r="710" ht="12.75" customHeight="1">
      <c r="H710" s="116"/>
    </row>
    <row r="711" ht="12.75" customHeight="1">
      <c r="H711" s="116"/>
    </row>
    <row r="712" ht="12.75" customHeight="1">
      <c r="H712" s="116"/>
    </row>
    <row r="713" ht="12.75" customHeight="1">
      <c r="H713" s="116"/>
    </row>
    <row r="714" ht="12.75" customHeight="1">
      <c r="H714" s="116"/>
    </row>
    <row r="715" ht="12.75" customHeight="1">
      <c r="H715" s="116"/>
    </row>
    <row r="716" ht="12.75" customHeight="1">
      <c r="H716" s="116"/>
    </row>
    <row r="717" ht="12.75" customHeight="1">
      <c r="H717" s="116"/>
    </row>
    <row r="718" ht="12.75" customHeight="1">
      <c r="H718" s="116"/>
    </row>
    <row r="719" ht="12.75" customHeight="1">
      <c r="H719" s="116"/>
    </row>
    <row r="720" ht="12.75" customHeight="1">
      <c r="H720" s="116"/>
    </row>
    <row r="721" ht="12.75" customHeight="1">
      <c r="H721" s="116"/>
    </row>
    <row r="722" ht="12.75" customHeight="1">
      <c r="H722" s="116"/>
    </row>
    <row r="723" ht="12.75" customHeight="1">
      <c r="H723" s="116"/>
    </row>
    <row r="724" ht="12.75" customHeight="1">
      <c r="H724" s="116"/>
    </row>
    <row r="725" ht="12.75" customHeight="1">
      <c r="H725" s="116"/>
    </row>
    <row r="726" ht="12.75" customHeight="1">
      <c r="H726" s="116"/>
    </row>
    <row r="727" ht="12.75" customHeight="1">
      <c r="H727" s="116"/>
    </row>
    <row r="728" ht="12.75" customHeight="1">
      <c r="H728" s="116"/>
    </row>
    <row r="729" ht="12.75" customHeight="1">
      <c r="H729" s="116"/>
    </row>
    <row r="730" ht="12.75" customHeight="1">
      <c r="H730" s="116"/>
    </row>
    <row r="731" ht="12.75" customHeight="1">
      <c r="H731" s="116"/>
    </row>
    <row r="732" ht="12.75" customHeight="1">
      <c r="H732" s="116"/>
    </row>
    <row r="733" ht="12.75" customHeight="1">
      <c r="H733" s="116"/>
    </row>
    <row r="734" ht="12.75" customHeight="1">
      <c r="H734" s="116"/>
    </row>
    <row r="735" ht="12.75" customHeight="1">
      <c r="H735" s="116"/>
    </row>
    <row r="736" ht="12.75" customHeight="1">
      <c r="H736" s="116"/>
    </row>
    <row r="737" ht="12.75" customHeight="1">
      <c r="H737" s="116"/>
    </row>
    <row r="738" ht="12.75" customHeight="1">
      <c r="H738" s="116"/>
    </row>
    <row r="739" ht="12.75" customHeight="1">
      <c r="H739" s="116"/>
    </row>
    <row r="740" ht="12.75" customHeight="1">
      <c r="H740" s="116"/>
    </row>
    <row r="741" ht="12.75" customHeight="1">
      <c r="H741" s="116"/>
    </row>
    <row r="742" ht="12.75" customHeight="1">
      <c r="H742" s="116"/>
    </row>
    <row r="743" ht="12.75" customHeight="1">
      <c r="H743" s="116"/>
    </row>
    <row r="744" ht="12.75" customHeight="1">
      <c r="H744" s="116"/>
    </row>
    <row r="745" ht="12.75" customHeight="1">
      <c r="H745" s="116"/>
    </row>
    <row r="746" ht="12.75" customHeight="1">
      <c r="H746" s="116"/>
    </row>
    <row r="747" ht="12.75" customHeight="1">
      <c r="H747" s="116"/>
    </row>
    <row r="748" ht="12.75" customHeight="1">
      <c r="H748" s="116"/>
    </row>
    <row r="749" ht="12.75" customHeight="1">
      <c r="H749" s="116"/>
    </row>
    <row r="750" ht="12.75" customHeight="1">
      <c r="H750" s="116"/>
    </row>
    <row r="751" ht="12.75" customHeight="1">
      <c r="H751" s="116"/>
    </row>
    <row r="752" ht="12.75" customHeight="1">
      <c r="H752" s="116"/>
    </row>
    <row r="753" ht="12.75" customHeight="1">
      <c r="H753" s="116"/>
    </row>
    <row r="754" ht="12.75" customHeight="1">
      <c r="H754" s="116"/>
    </row>
    <row r="755" ht="12.75" customHeight="1">
      <c r="H755" s="116"/>
    </row>
    <row r="756" ht="12.75" customHeight="1">
      <c r="H756" s="116"/>
    </row>
    <row r="757" ht="12.75" customHeight="1">
      <c r="H757" s="116"/>
    </row>
    <row r="758" ht="12.75" customHeight="1">
      <c r="H758" s="116"/>
    </row>
    <row r="759" ht="12.75" customHeight="1">
      <c r="H759" s="116"/>
    </row>
    <row r="760" ht="12.75" customHeight="1">
      <c r="H760" s="116"/>
    </row>
    <row r="761" ht="12.75" customHeight="1">
      <c r="H761" s="116"/>
    </row>
    <row r="762" ht="12.75" customHeight="1">
      <c r="H762" s="116"/>
    </row>
    <row r="763" ht="12.75" customHeight="1">
      <c r="H763" s="116"/>
    </row>
    <row r="764" ht="12.75" customHeight="1">
      <c r="H764" s="116"/>
    </row>
    <row r="765" ht="12.75" customHeight="1">
      <c r="H765" s="116"/>
    </row>
    <row r="766" ht="12.75" customHeight="1">
      <c r="H766" s="116"/>
    </row>
    <row r="767" ht="12.75" customHeight="1">
      <c r="H767" s="116"/>
    </row>
    <row r="768" ht="12.75" customHeight="1">
      <c r="H768" s="116"/>
    </row>
    <row r="769" ht="12.75" customHeight="1">
      <c r="H769" s="116"/>
    </row>
    <row r="770" ht="12.75" customHeight="1">
      <c r="H770" s="116"/>
    </row>
    <row r="771" ht="12.75" customHeight="1">
      <c r="H771" s="116"/>
    </row>
    <row r="772" ht="12.75" customHeight="1">
      <c r="H772" s="116"/>
    </row>
    <row r="773" ht="12.75" customHeight="1">
      <c r="H773" s="116"/>
    </row>
    <row r="774" ht="12.75" customHeight="1">
      <c r="H774" s="116"/>
    </row>
    <row r="775" ht="12.75" customHeight="1">
      <c r="H775" s="116"/>
    </row>
    <row r="776" ht="12.75" customHeight="1">
      <c r="H776" s="116"/>
    </row>
    <row r="777" ht="12.75" customHeight="1">
      <c r="H777" s="116"/>
    </row>
    <row r="778" ht="12.75" customHeight="1">
      <c r="H778" s="116"/>
    </row>
    <row r="779" ht="12.75" customHeight="1">
      <c r="H779" s="116"/>
    </row>
    <row r="780" ht="12.75" customHeight="1">
      <c r="H780" s="116"/>
    </row>
    <row r="781" ht="12.75" customHeight="1">
      <c r="H781" s="116"/>
    </row>
    <row r="782" ht="12.75" customHeight="1">
      <c r="H782" s="116"/>
    </row>
    <row r="783" ht="12.75" customHeight="1">
      <c r="H783" s="116"/>
    </row>
    <row r="784" ht="12.75" customHeight="1">
      <c r="H784" s="116"/>
    </row>
    <row r="785" ht="12.75" customHeight="1">
      <c r="H785" s="116"/>
    </row>
    <row r="786" ht="12.75" customHeight="1">
      <c r="H786" s="116"/>
    </row>
    <row r="787" ht="12.75" customHeight="1">
      <c r="H787" s="116"/>
    </row>
    <row r="788" ht="12.75" customHeight="1">
      <c r="H788" s="116"/>
    </row>
    <row r="789" ht="12.75" customHeight="1">
      <c r="H789" s="116"/>
    </row>
    <row r="790" ht="12.75" customHeight="1">
      <c r="H790" s="116"/>
    </row>
    <row r="791" ht="12.75" customHeight="1">
      <c r="H791" s="116"/>
    </row>
    <row r="792" ht="12.75" customHeight="1">
      <c r="H792" s="116"/>
    </row>
    <row r="793" ht="12.75" customHeight="1">
      <c r="H793" s="116"/>
    </row>
    <row r="794" ht="12.75" customHeight="1">
      <c r="H794" s="116"/>
    </row>
    <row r="795" ht="12.75" customHeight="1">
      <c r="H795" s="116"/>
    </row>
    <row r="796" ht="12.75" customHeight="1">
      <c r="H796" s="116"/>
    </row>
    <row r="797" ht="12.75" customHeight="1">
      <c r="H797" s="116"/>
    </row>
    <row r="798" ht="12.75" customHeight="1">
      <c r="H798" s="116"/>
    </row>
    <row r="799" ht="12.75" customHeight="1">
      <c r="H799" s="116"/>
    </row>
    <row r="800" ht="12.75" customHeight="1">
      <c r="H800" s="116"/>
    </row>
    <row r="801" ht="12.75" customHeight="1">
      <c r="H801" s="116"/>
    </row>
    <row r="802" ht="12.75" customHeight="1">
      <c r="H802" s="116"/>
    </row>
    <row r="803" ht="12.75" customHeight="1">
      <c r="H803" s="116"/>
    </row>
    <row r="804" ht="12.75" customHeight="1">
      <c r="H804" s="116"/>
    </row>
    <row r="805" ht="12.75" customHeight="1">
      <c r="H805" s="116"/>
    </row>
    <row r="806" ht="12.75" customHeight="1">
      <c r="H806" s="116"/>
    </row>
    <row r="807" ht="12.75" customHeight="1">
      <c r="H807" s="116"/>
    </row>
    <row r="808" ht="12.75" customHeight="1">
      <c r="H808" s="116"/>
    </row>
    <row r="809" ht="12.75" customHeight="1">
      <c r="H809" s="116"/>
    </row>
    <row r="810" ht="12.75" customHeight="1">
      <c r="H810" s="116"/>
    </row>
    <row r="811" ht="12.75" customHeight="1">
      <c r="H811" s="116"/>
    </row>
    <row r="812" ht="12.75" customHeight="1">
      <c r="H812" s="116"/>
    </row>
    <row r="813" ht="12.75" customHeight="1">
      <c r="H813" s="116"/>
    </row>
    <row r="814" ht="12.75" customHeight="1">
      <c r="H814" s="116"/>
    </row>
    <row r="815" ht="12.75" customHeight="1">
      <c r="H815" s="116"/>
    </row>
    <row r="816" ht="12.75" customHeight="1">
      <c r="H816" s="116"/>
    </row>
    <row r="817" ht="12.75" customHeight="1">
      <c r="H817" s="116"/>
    </row>
    <row r="818" ht="12.75" customHeight="1">
      <c r="H818" s="116"/>
    </row>
    <row r="819" ht="12.75" customHeight="1">
      <c r="H819" s="116"/>
    </row>
    <row r="820" ht="12.75" customHeight="1">
      <c r="H820" s="116"/>
    </row>
    <row r="821" ht="12.75" customHeight="1">
      <c r="H821" s="116"/>
    </row>
    <row r="822" ht="12.75" customHeight="1">
      <c r="H822" s="116"/>
    </row>
    <row r="823" ht="12.75" customHeight="1">
      <c r="H823" s="116"/>
    </row>
    <row r="824" ht="12.75" customHeight="1">
      <c r="H824" s="116"/>
    </row>
    <row r="825" ht="12.75" customHeight="1">
      <c r="H825" s="116"/>
    </row>
    <row r="826" ht="12.75" customHeight="1">
      <c r="H826" s="116"/>
    </row>
    <row r="827" ht="12.75" customHeight="1">
      <c r="H827" s="116"/>
    </row>
    <row r="828" ht="12.75" customHeight="1">
      <c r="H828" s="116"/>
    </row>
    <row r="829" ht="12.75" customHeight="1">
      <c r="H829" s="116"/>
    </row>
    <row r="830" ht="12.75" customHeight="1">
      <c r="H830" s="116"/>
    </row>
    <row r="831" ht="12.75" customHeight="1">
      <c r="H831" s="116"/>
    </row>
    <row r="832" ht="12.75" customHeight="1">
      <c r="H832" s="116"/>
    </row>
    <row r="833" ht="12.75" customHeight="1">
      <c r="H833" s="116"/>
    </row>
    <row r="834" ht="12.75" customHeight="1">
      <c r="H834" s="116"/>
    </row>
    <row r="835" ht="12.75" customHeight="1">
      <c r="H835" s="116"/>
    </row>
    <row r="836" ht="12.75" customHeight="1">
      <c r="H836" s="116"/>
    </row>
    <row r="837" ht="12.75" customHeight="1">
      <c r="H837" s="116"/>
    </row>
    <row r="838" ht="12.75" customHeight="1">
      <c r="H838" s="116"/>
    </row>
    <row r="839" ht="12.75" customHeight="1">
      <c r="H839" s="116"/>
    </row>
    <row r="840" ht="12.75" customHeight="1">
      <c r="H840" s="116"/>
    </row>
    <row r="841" ht="12.75" customHeight="1">
      <c r="H841" s="116"/>
    </row>
    <row r="842" ht="12.75" customHeight="1">
      <c r="H842" s="116"/>
    </row>
    <row r="843" ht="12.75" customHeight="1">
      <c r="H843" s="116"/>
    </row>
    <row r="844" ht="12.75" customHeight="1">
      <c r="H844" s="116"/>
    </row>
    <row r="845" ht="12.75" customHeight="1">
      <c r="H845" s="116"/>
    </row>
    <row r="846" ht="12.75" customHeight="1">
      <c r="H846" s="116"/>
    </row>
    <row r="847" ht="12.75" customHeight="1">
      <c r="H847" s="116"/>
    </row>
    <row r="848" ht="12.75" customHeight="1">
      <c r="H848" s="116"/>
    </row>
    <row r="849" ht="12.75" customHeight="1">
      <c r="H849" s="116"/>
    </row>
    <row r="850" ht="12.75" customHeight="1">
      <c r="H850" s="116"/>
    </row>
    <row r="851" ht="12.75" customHeight="1">
      <c r="H851" s="116"/>
    </row>
    <row r="852" ht="12.75" customHeight="1">
      <c r="H852" s="116"/>
    </row>
    <row r="853" ht="12.75" customHeight="1">
      <c r="H853" s="116"/>
    </row>
    <row r="854" ht="12.75" customHeight="1">
      <c r="H854" s="116"/>
    </row>
    <row r="855" ht="12.75" customHeight="1">
      <c r="H855" s="116"/>
    </row>
    <row r="856" ht="12.75" customHeight="1">
      <c r="H856" s="116"/>
    </row>
    <row r="857" ht="12.75" customHeight="1">
      <c r="H857" s="116"/>
    </row>
    <row r="858" ht="12.75" customHeight="1">
      <c r="H858" s="116"/>
    </row>
    <row r="859" ht="12.75" customHeight="1">
      <c r="H859" s="116"/>
    </row>
    <row r="860" ht="12.75" customHeight="1">
      <c r="H860" s="116"/>
    </row>
    <row r="861" ht="12.75" customHeight="1">
      <c r="H861" s="116"/>
    </row>
    <row r="862" ht="12.75" customHeight="1">
      <c r="H862" s="116"/>
    </row>
    <row r="863" ht="12.75" customHeight="1">
      <c r="H863" s="116"/>
    </row>
    <row r="864" ht="12.75" customHeight="1">
      <c r="H864" s="116"/>
    </row>
    <row r="865" ht="12.75" customHeight="1">
      <c r="H865" s="116"/>
    </row>
    <row r="866" ht="12.75" customHeight="1">
      <c r="H866" s="116"/>
    </row>
    <row r="867" ht="12.75" customHeight="1">
      <c r="H867" s="116"/>
    </row>
    <row r="868" ht="12.75" customHeight="1">
      <c r="H868" s="116"/>
    </row>
    <row r="869" ht="12.75" customHeight="1">
      <c r="H869" s="116"/>
    </row>
    <row r="870" ht="12.75" customHeight="1">
      <c r="H870" s="116"/>
    </row>
    <row r="871" ht="12.75" customHeight="1">
      <c r="H871" s="116"/>
    </row>
    <row r="872" ht="12.75" customHeight="1">
      <c r="H872" s="116"/>
    </row>
    <row r="873" ht="12.75" customHeight="1">
      <c r="H873" s="116"/>
    </row>
    <row r="874" ht="12.75" customHeight="1">
      <c r="H874" s="116"/>
    </row>
    <row r="875" ht="12.75" customHeight="1">
      <c r="H875" s="116"/>
    </row>
    <row r="876" ht="12.75" customHeight="1">
      <c r="H876" s="116"/>
    </row>
    <row r="877" ht="12.75" customHeight="1">
      <c r="H877" s="116"/>
    </row>
    <row r="878" ht="12.75" customHeight="1">
      <c r="H878" s="116"/>
    </row>
    <row r="879" ht="12.75" customHeight="1">
      <c r="H879" s="116"/>
    </row>
    <row r="880" ht="12.75" customHeight="1">
      <c r="H880" s="116"/>
    </row>
    <row r="881" ht="12.75" customHeight="1">
      <c r="H881" s="116"/>
    </row>
    <row r="882" ht="12.75" customHeight="1">
      <c r="H882" s="116"/>
    </row>
    <row r="883" ht="12.75" customHeight="1">
      <c r="H883" s="116"/>
    </row>
    <row r="884" ht="12.75" customHeight="1">
      <c r="H884" s="116"/>
    </row>
    <row r="885" ht="12.75" customHeight="1">
      <c r="H885" s="116"/>
    </row>
    <row r="886" ht="12.75" customHeight="1">
      <c r="H886" s="116"/>
    </row>
    <row r="887" ht="12.75" customHeight="1">
      <c r="H887" s="116"/>
    </row>
    <row r="888" ht="12.75" customHeight="1">
      <c r="H888" s="116"/>
    </row>
    <row r="889" ht="12.75" customHeight="1">
      <c r="H889" s="116"/>
    </row>
    <row r="890" ht="12.75" customHeight="1">
      <c r="H890" s="116"/>
    </row>
    <row r="891" ht="12.75" customHeight="1">
      <c r="H891" s="116"/>
    </row>
    <row r="892" ht="12.75" customHeight="1">
      <c r="H892" s="116"/>
    </row>
    <row r="893" ht="12.75" customHeight="1">
      <c r="H893" s="116"/>
    </row>
    <row r="894" ht="12.75" customHeight="1">
      <c r="H894" s="116"/>
    </row>
    <row r="895" ht="12.75" customHeight="1">
      <c r="H895" s="116"/>
    </row>
    <row r="896" ht="12.75" customHeight="1">
      <c r="H896" s="116"/>
    </row>
    <row r="897" ht="12.75" customHeight="1">
      <c r="H897" s="116"/>
    </row>
    <row r="898" ht="12.75" customHeight="1">
      <c r="H898" s="116"/>
    </row>
    <row r="899" ht="12.75" customHeight="1">
      <c r="H899" s="116"/>
    </row>
    <row r="900" ht="12.75" customHeight="1">
      <c r="H900" s="116"/>
    </row>
    <row r="901" ht="12.75" customHeight="1">
      <c r="H901" s="116"/>
    </row>
    <row r="902" ht="12.75" customHeight="1">
      <c r="H902" s="116"/>
    </row>
    <row r="903" ht="12.75" customHeight="1">
      <c r="H903" s="116"/>
    </row>
    <row r="904" ht="12.75" customHeight="1">
      <c r="H904" s="116"/>
    </row>
    <row r="905" ht="12.75" customHeight="1">
      <c r="H905" s="116"/>
    </row>
    <row r="906" ht="12.75" customHeight="1">
      <c r="H906" s="116"/>
    </row>
    <row r="907" ht="12.75" customHeight="1">
      <c r="H907" s="116"/>
    </row>
    <row r="908" ht="12.75" customHeight="1">
      <c r="H908" s="116"/>
    </row>
    <row r="909" ht="12.75" customHeight="1">
      <c r="H909" s="116"/>
    </row>
    <row r="910" ht="12.75" customHeight="1">
      <c r="H910" s="116"/>
    </row>
    <row r="911" ht="12.75" customHeight="1">
      <c r="H911" s="116"/>
    </row>
    <row r="912" ht="12.75" customHeight="1">
      <c r="H912" s="116"/>
    </row>
    <row r="913" ht="12.75" customHeight="1">
      <c r="H913" s="116"/>
    </row>
    <row r="914" ht="12.75" customHeight="1">
      <c r="H914" s="116"/>
    </row>
    <row r="915" ht="12.75" customHeight="1">
      <c r="H915" s="116"/>
    </row>
    <row r="916" ht="12.75" customHeight="1">
      <c r="H916" s="116"/>
    </row>
    <row r="917" ht="12.75" customHeight="1">
      <c r="H917" s="116"/>
    </row>
    <row r="918" ht="12.75" customHeight="1">
      <c r="H918" s="116"/>
    </row>
    <row r="919" ht="12.75" customHeight="1">
      <c r="H919" s="116"/>
    </row>
    <row r="920" ht="12.75" customHeight="1">
      <c r="H920" s="116"/>
    </row>
    <row r="921" ht="12.75" customHeight="1">
      <c r="H921" s="116"/>
    </row>
    <row r="922" ht="12.75" customHeight="1">
      <c r="H922" s="116"/>
    </row>
    <row r="923" ht="12.75" customHeight="1">
      <c r="H923" s="116"/>
    </row>
    <row r="924" ht="12.75" customHeight="1">
      <c r="H924" s="116"/>
    </row>
    <row r="925" ht="12.75" customHeight="1">
      <c r="H925" s="116"/>
    </row>
    <row r="926" ht="12.75" customHeight="1">
      <c r="H926" s="116"/>
    </row>
    <row r="927" ht="12.75" customHeight="1">
      <c r="H927" s="116"/>
    </row>
    <row r="928" ht="12.75" customHeight="1">
      <c r="H928" s="116"/>
    </row>
    <row r="929" ht="12.75" customHeight="1">
      <c r="H929" s="116"/>
    </row>
    <row r="930" ht="12.75" customHeight="1">
      <c r="H930" s="116"/>
    </row>
    <row r="931" ht="12.75" customHeight="1">
      <c r="H931" s="116"/>
    </row>
    <row r="932" ht="12.75" customHeight="1">
      <c r="H932" s="116"/>
    </row>
    <row r="933" ht="12.75" customHeight="1">
      <c r="H933" s="116"/>
    </row>
    <row r="934" ht="12.75" customHeight="1">
      <c r="H934" s="116"/>
    </row>
    <row r="935" ht="12.75" customHeight="1">
      <c r="H935" s="116"/>
    </row>
    <row r="936" ht="12.75" customHeight="1">
      <c r="H936" s="116"/>
    </row>
    <row r="937" ht="12.75" customHeight="1">
      <c r="H937" s="116"/>
    </row>
    <row r="938" ht="12.75" customHeight="1">
      <c r="H938" s="116"/>
    </row>
    <row r="939" ht="12.75" customHeight="1">
      <c r="H939" s="116"/>
    </row>
    <row r="940" ht="12.75" customHeight="1">
      <c r="H940" s="116"/>
    </row>
    <row r="941" ht="12.75" customHeight="1">
      <c r="H941" s="116"/>
    </row>
    <row r="942" ht="12.75" customHeight="1">
      <c r="H942" s="116"/>
    </row>
    <row r="943" ht="12.75" customHeight="1">
      <c r="H943" s="116"/>
    </row>
    <row r="944" ht="12.75" customHeight="1">
      <c r="H944" s="116"/>
    </row>
    <row r="945" ht="12.75" customHeight="1">
      <c r="H945" s="116"/>
    </row>
    <row r="946" ht="12.75" customHeight="1">
      <c r="H946" s="116"/>
    </row>
    <row r="947" ht="12.75" customHeight="1">
      <c r="H947" s="116"/>
    </row>
    <row r="948" ht="12.75" customHeight="1">
      <c r="H948" s="116"/>
    </row>
    <row r="949" ht="12.75" customHeight="1">
      <c r="H949" s="116"/>
    </row>
    <row r="950" ht="12.75" customHeight="1">
      <c r="H950" s="116"/>
    </row>
    <row r="951" ht="12.75" customHeight="1">
      <c r="H951" s="116"/>
    </row>
    <row r="952" ht="12.75" customHeight="1">
      <c r="H952" s="116"/>
    </row>
    <row r="953" ht="12.75" customHeight="1">
      <c r="H953" s="116"/>
    </row>
    <row r="954" ht="12.75" customHeight="1">
      <c r="H954" s="116"/>
    </row>
    <row r="955" ht="12.75" customHeight="1">
      <c r="H955" s="116"/>
    </row>
    <row r="956" ht="12.75" customHeight="1">
      <c r="H956" s="116"/>
    </row>
    <row r="957" ht="12.75" customHeight="1">
      <c r="H957" s="116"/>
    </row>
    <row r="958" ht="12.75" customHeight="1">
      <c r="H958" s="116"/>
    </row>
    <row r="959" ht="12.75" customHeight="1">
      <c r="H959" s="116"/>
    </row>
    <row r="960" ht="12.75" customHeight="1">
      <c r="H960" s="116"/>
    </row>
    <row r="961" ht="12.75" customHeight="1">
      <c r="H961" s="116"/>
    </row>
    <row r="962" ht="12.75" customHeight="1">
      <c r="H962" s="116"/>
    </row>
    <row r="963" ht="12.75" customHeight="1">
      <c r="H963" s="116"/>
    </row>
    <row r="964" ht="12.75" customHeight="1">
      <c r="H964" s="116"/>
    </row>
    <row r="965" ht="12.75" customHeight="1">
      <c r="H965" s="116"/>
    </row>
    <row r="966" ht="12.75" customHeight="1">
      <c r="H966" s="116"/>
    </row>
    <row r="967" ht="12.75" customHeight="1">
      <c r="H967" s="116"/>
    </row>
    <row r="968" ht="12.75" customHeight="1">
      <c r="H968" s="116"/>
    </row>
    <row r="969" ht="12.75" customHeight="1">
      <c r="H969" s="116"/>
    </row>
    <row r="970" ht="12.75" customHeight="1">
      <c r="H970" s="116"/>
    </row>
    <row r="971" ht="12.75" customHeight="1">
      <c r="H971" s="116"/>
    </row>
    <row r="972" ht="12.75" customHeight="1">
      <c r="H972" s="116"/>
    </row>
    <row r="973" ht="12.75" customHeight="1">
      <c r="H973" s="116"/>
    </row>
    <row r="974" ht="12.75" customHeight="1">
      <c r="H974" s="116"/>
    </row>
    <row r="975" ht="12.75" customHeight="1">
      <c r="H975" s="116"/>
    </row>
    <row r="976" ht="12.75" customHeight="1">
      <c r="H976" s="116"/>
    </row>
    <row r="977" ht="12.75" customHeight="1">
      <c r="H977" s="116"/>
    </row>
    <row r="978" ht="12.75" customHeight="1">
      <c r="H978" s="116"/>
    </row>
    <row r="979" ht="12.75" customHeight="1">
      <c r="H979" s="116"/>
    </row>
    <row r="980" ht="12.75" customHeight="1">
      <c r="H980" s="116"/>
    </row>
    <row r="981" ht="12.75" customHeight="1">
      <c r="H981" s="116"/>
    </row>
    <row r="982" ht="12.75" customHeight="1">
      <c r="H982" s="116"/>
    </row>
    <row r="983" ht="12.75" customHeight="1">
      <c r="H983" s="116"/>
    </row>
    <row r="984" ht="12.75" customHeight="1">
      <c r="H984" s="116"/>
    </row>
    <row r="985" ht="12.75" customHeight="1">
      <c r="H985" s="116"/>
    </row>
    <row r="986" ht="12.75" customHeight="1">
      <c r="H986" s="116"/>
    </row>
    <row r="987" ht="12.75" customHeight="1">
      <c r="H987" s="116"/>
    </row>
    <row r="988" ht="12.75" customHeight="1">
      <c r="H988" s="116"/>
    </row>
    <row r="989" ht="12.75" customHeight="1">
      <c r="H989" s="116"/>
    </row>
    <row r="990" ht="12.75" customHeight="1">
      <c r="H990" s="116"/>
    </row>
    <row r="991" ht="12.75" customHeight="1">
      <c r="H991" s="116"/>
    </row>
    <row r="992" ht="12.75" customHeight="1">
      <c r="H992" s="116"/>
    </row>
    <row r="993" ht="12.75" customHeight="1">
      <c r="H993" s="116"/>
    </row>
    <row r="994" ht="12.75" customHeight="1">
      <c r="H994" s="116"/>
    </row>
    <row r="995" ht="12.75" customHeight="1">
      <c r="H995" s="116"/>
    </row>
    <row r="996" ht="12.75" customHeight="1">
      <c r="H996" s="116"/>
    </row>
    <row r="997" ht="12.75" customHeight="1">
      <c r="H997" s="116"/>
    </row>
    <row r="998" ht="12.75" customHeight="1">
      <c r="H998" s="116"/>
    </row>
    <row r="999" ht="12.75" customHeight="1">
      <c r="H999" s="116"/>
    </row>
    <row r="1000" ht="12.75" customHeight="1">
      <c r="H1000" s="116"/>
    </row>
  </sheetData>
  <mergeCells count="4">
    <mergeCell ref="D3:H3"/>
    <mergeCell ref="A6:J6"/>
    <mergeCell ref="A14:J14"/>
    <mergeCell ref="A16:J16"/>
  </mergeCells>
  <hyperlinks>
    <hyperlink r:id="rId1" ref="C9"/>
    <hyperlink r:id="rId2" ref="C10"/>
  </hyperlinks>
  <printOptions/>
  <pageMargins bottom="0.75" footer="0.0" header="0.0" left="0.7" right="0.7" top="0.75"/>
  <pageSetup paperSize="9" orientation="portrait"/>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