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uro\OneDrive\Escritorio\trabajo\"/>
    </mc:Choice>
  </mc:AlternateContent>
  <xr:revisionPtr revIDLastSave="0" documentId="13_ncr:1_{DB466D73-9506-46A9-A151-63CBD4DD8320}" xr6:coauthVersionLast="47" xr6:coauthVersionMax="47" xr10:uidLastSave="{00000000-0000-0000-0000-000000000000}"/>
  <bookViews>
    <workbookView xWindow="2268" yWindow="2268" windowWidth="17280" windowHeight="8880" firstSheet="1" activeTab="6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7efjjO/q2DmVslaJbBljUr99o6VRN/690SvMvlELpbo="/>
    </ext>
  </extLst>
</workbook>
</file>

<file path=xl/calcChain.xml><?xml version="1.0" encoding="utf-8"?>
<calcChain xmlns="http://schemas.openxmlformats.org/spreadsheetml/2006/main">
  <c r="F10" i="7" l="1"/>
  <c r="E3" i="3"/>
  <c r="D3" i="3"/>
  <c r="C6" i="1"/>
  <c r="G10" i="7"/>
  <c r="F16" i="7"/>
  <c r="G15" i="7"/>
  <c r="H14" i="7"/>
  <c r="G13" i="7"/>
  <c r="G12" i="7"/>
  <c r="G11" i="7"/>
  <c r="G9" i="7"/>
  <c r="G8" i="7"/>
  <c r="G7" i="7"/>
  <c r="G6" i="7"/>
  <c r="G5" i="7"/>
  <c r="G4" i="7"/>
  <c r="G3" i="7"/>
  <c r="G2" i="7"/>
  <c r="B7" i="5"/>
  <c r="C7" i="4"/>
  <c r="B7" i="4"/>
  <c r="C9" i="3"/>
  <c r="E7" i="3"/>
  <c r="D7" i="3"/>
  <c r="E6" i="3"/>
  <c r="D6" i="3"/>
  <c r="E5" i="3"/>
  <c r="D5" i="3"/>
  <c r="E4" i="3"/>
  <c r="D4" i="3"/>
  <c r="B9" i="2"/>
  <c r="B12" i="1"/>
  <c r="D10" i="1"/>
  <c r="C10" i="1"/>
  <c r="D9" i="1"/>
  <c r="C9" i="1"/>
  <c r="D8" i="1"/>
  <c r="C8" i="1"/>
  <c r="D7" i="1"/>
  <c r="C7" i="1"/>
  <c r="D6" i="1"/>
  <c r="D5" i="1"/>
  <c r="C5" i="1"/>
  <c r="D4" i="1"/>
  <c r="C4" i="1"/>
  <c r="D3" i="1"/>
  <c r="C3" i="1"/>
  <c r="C12" i="1" l="1"/>
  <c r="D12" i="1"/>
  <c r="D9" i="3"/>
  <c r="E9" i="3"/>
</calcChain>
</file>

<file path=xl/sharedStrings.xml><?xml version="1.0" encoding="utf-8"?>
<sst xmlns="http://schemas.openxmlformats.org/spreadsheetml/2006/main" count="108" uniqueCount="82">
  <si>
    <t>1. Costos de Recursos Humanos (por día)</t>
  </si>
  <si>
    <t>Recurso</t>
  </si>
  <si>
    <t>Salario mensual estimado (COP)</t>
  </si>
  <si>
    <t>Salario diario aprox. (COP)</t>
  </si>
  <si>
    <t>Salario por hora</t>
  </si>
  <si>
    <t>Programador Front-End</t>
  </si>
  <si>
    <t>Programador Back-End</t>
  </si>
  <si>
    <t>Oftalmólogo (consultor externo)</t>
  </si>
  <si>
    <t>Técnico de soporte TI</t>
  </si>
  <si>
    <t>UX/UI Designer</t>
  </si>
  <si>
    <t>Administrador de sistema</t>
  </si>
  <si>
    <t>Recepcionista (simulado o real)</t>
  </si>
  <si>
    <t>Personal de pruebas (clientes simulados)</t>
  </si>
  <si>
    <t>Pago total =</t>
  </si>
  <si>
    <t>2. Costos Técnicos y de Infraestructura (anuales o únicos)</t>
  </si>
  <si>
    <t>Costo estimado</t>
  </si>
  <si>
    <t>1 web</t>
  </si>
  <si>
    <t>2 bases de datos</t>
  </si>
  <si>
    <t>10 GB de almacenamiento NVMe SSD</t>
  </si>
  <si>
    <t>10 cuentas de correo</t>
  </si>
  <si>
    <t>Creador de sitios web</t>
  </si>
  <si>
    <t>total</t>
  </si>
  <si>
    <t>3. Costos de Desarrollo</t>
  </si>
  <si>
    <t>Actividad</t>
  </si>
  <si>
    <t>Estimación en días</t>
  </si>
  <si>
    <t>costo por dia</t>
  </si>
  <si>
    <t>costo por hora</t>
  </si>
  <si>
    <t>Diseño y mockups (UX/UI)</t>
  </si>
  <si>
    <t>3 dias</t>
  </si>
  <si>
    <t>Desarrollo Frontend</t>
  </si>
  <si>
    <t>7 dias</t>
  </si>
  <si>
    <t>Desarrollo Backend</t>
  </si>
  <si>
    <t>Base de datos</t>
  </si>
  <si>
    <t>Seguridad y autenticación</t>
  </si>
  <si>
    <t>2 dias</t>
  </si>
  <si>
    <t>suma total</t>
  </si>
  <si>
    <t>4. Costos de Soporte y Mantenimiento (6 meses)</t>
  </si>
  <si>
    <t>Costo mensual estimado</t>
  </si>
  <si>
    <t>Total 6 meses</t>
  </si>
  <si>
    <t>Soporte técnico</t>
  </si>
  <si>
    <t>Actualizaciones</t>
  </si>
  <si>
    <t>Monitoreo del sistema</t>
  </si>
  <si>
    <t xml:space="preserve"> 5. Costos Administrativos y de Documentación</t>
  </si>
  <si>
    <t>Documentación del sistema</t>
  </si>
  <si>
    <t>Manual de usuario</t>
  </si>
  <si>
    <t>Impresiones y presentaciones</t>
  </si>
  <si>
    <t>fuente para justificar salario</t>
  </si>
  <si>
    <t>https://co.indeed.com/career/programador-front-end/salaries</t>
  </si>
  <si>
    <t>https://www.glassdoor.es/Sueldos/bogot%C3%A1-backend-developer-sueldo-SRCH_IL.0,6_IM1064_KO7,24.htm</t>
  </si>
  <si>
    <t>https://co.computrabajo.com/salarios/oftalmologoa</t>
  </si>
  <si>
    <t>https://www.elempleo.com/co/ofertas-empleo/trabajo-tecnico-de-soporte-ti</t>
  </si>
  <si>
    <t>https://www.glassdoor.es/Sueldos/colombia-ui-ux-designer-sueldo-SRCH_IL.0%2C8_IN54_KO9%2C23.htm</t>
  </si>
  <si>
    <t>https://co.computrabajo.com/salarios/administradora-de-sistemas</t>
  </si>
  <si>
    <t>https://co.computrabajo.com/salarios/recepcionista</t>
  </si>
  <si>
    <t>https://www.glassdoor.es/Sueldos/colombia-qa-tester-sueldo-SRCH_IL.0%2C8_IN54_KO9%2C18.htm</t>
  </si>
  <si>
    <t>Categoría</t>
  </si>
  <si>
    <t>Cantidad</t>
  </si>
  <si>
    <t>Costo Unitario Mensual (COP)</t>
  </si>
  <si>
    <t>Duración (meses)</t>
  </si>
  <si>
    <t>Costo Total (COP)</t>
  </si>
  <si>
    <t>Recursos Humanos</t>
  </si>
  <si>
    <t>Project Manager / Scrum Master</t>
  </si>
  <si>
    <t>QA / Tester</t>
  </si>
  <si>
    <t>Consultor (oftalmólogo)</t>
  </si>
  <si>
    <t>Tecnología</t>
  </si>
  <si>
    <t>Licencias de software (VS, etc)</t>
  </si>
  <si>
    <t>Servidor en la nube (Azure)</t>
  </si>
  <si>
    <t>Dominio web</t>
  </si>
  <si>
    <t>Infraestructura</t>
  </si>
  <si>
    <t>Internet</t>
  </si>
  <si>
    <t>Energía eléctrica</t>
  </si>
  <si>
    <t>Otros</t>
  </si>
  <si>
    <t>Papelería / Suministros</t>
  </si>
  <si>
    <t>Imprevistos (5%)</t>
  </si>
  <si>
    <t>-</t>
  </si>
  <si>
    <t>(estimado)</t>
  </si>
  <si>
    <t>Mantenimiento post-despliegue</t>
  </si>
  <si>
    <t>Total Estimado del Proyecto:</t>
  </si>
  <si>
    <t xml:space="preserve">computadores </t>
  </si>
  <si>
    <t>Computadores Portátiles</t>
  </si>
  <si>
    <t>Computadores</t>
  </si>
  <si>
    <t>$ 40.000.000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</si>
</sst>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&quot;$&quot;\ #,##0.00;[Red]\-&quot;$&quot;\ 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424242"/>
      <name val="Arial"/>
    </font>
    <font>
      <b/>
      <sz val="11"/>
      <color theme="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0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164" fontId="2" fillId="0" borderId="0" xfId="0" applyNumberFormat="1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164" fontId="1" fillId="0" borderId="0" xfId="0" applyNumberFormat="1" applyFont="1"/>
    <xf numFmtId="165" fontId="2" fillId="0" borderId="0" xfId="0" applyNumberFormat="1" applyFont="1"/>
    <xf numFmtId="0" fontId="5" fillId="0" borderId="0" xfId="0" applyFont="1" applyAlignment="1">
      <alignment vertical="center" wrapText="1"/>
    </xf>
    <xf numFmtId="0" fontId="6" fillId="0" borderId="0" xfId="0" applyFont="1" applyAlignment="1"/>
    <xf numFmtId="0" fontId="7" fillId="0" borderId="0" xfId="0" applyFont="1" applyAlignme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1" applyAlignment="1">
      <alignment vertical="center" wrapText="1"/>
    </xf>
    <xf numFmtId="0" fontId="8" fillId="0" borderId="0" xfId="1" applyAlignment="1"/>
    <xf numFmtId="0" fontId="9" fillId="0" borderId="0" xfId="0" applyFont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lassdoor.es/Sueldos/colombia-qa-tester-sueldo-SRCH_IL.0%2C8_IN54_KO9%2C18.htm" TargetMode="External"/><Relationship Id="rId3" Type="http://schemas.openxmlformats.org/officeDocument/2006/relationships/hyperlink" Target="https://co.computrabajo.com/salarios/oftalmologoa" TargetMode="External"/><Relationship Id="rId7" Type="http://schemas.openxmlformats.org/officeDocument/2006/relationships/hyperlink" Target="https://co.computrabajo.com/salarios/recepcionista" TargetMode="External"/><Relationship Id="rId2" Type="http://schemas.openxmlformats.org/officeDocument/2006/relationships/hyperlink" Target="https://www.glassdoor.es/Sueldos/bogot%C3%A1-backend-developer-sueldo-SRCH_IL.0,6_IM1064_KO7,24.htm" TargetMode="External"/><Relationship Id="rId1" Type="http://schemas.openxmlformats.org/officeDocument/2006/relationships/hyperlink" Target="https://co.indeed.com/career/programador-front-end/salaries" TargetMode="External"/><Relationship Id="rId6" Type="http://schemas.openxmlformats.org/officeDocument/2006/relationships/hyperlink" Target="https://co.computrabajo.com/salarios/administradora-de-sistemas" TargetMode="External"/><Relationship Id="rId5" Type="http://schemas.openxmlformats.org/officeDocument/2006/relationships/hyperlink" Target="https://www.glassdoor.es/Sueldos/colombia-ui-ux-designer-sueldo-SRCH_IL.0%2C8_IN54_KO9%2C23.htm?" TargetMode="External"/><Relationship Id="rId4" Type="http://schemas.openxmlformats.org/officeDocument/2006/relationships/hyperlink" Target="https://www.elempleo.com/co/ofertas-empleo/trabajo-tecnico-de-soporte-ti" TargetMode="External"/><Relationship Id="rId9" Type="http://schemas.openxmlformats.org/officeDocument/2006/relationships/hyperlink" Target="https://www.ktronix.com/computadores-tablet/computadores-portatiles/c/BI_104_KT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3" sqref="B3"/>
    </sheetView>
  </sheetViews>
  <sheetFormatPr baseColWidth="10" defaultColWidth="14.44140625" defaultRowHeight="15" customHeight="1" x14ac:dyDescent="0.3"/>
  <cols>
    <col min="1" max="1" width="37.5546875" customWidth="1"/>
    <col min="2" max="2" width="29.5546875" customWidth="1"/>
    <col min="3" max="3" width="24.33203125" customWidth="1"/>
    <col min="4" max="4" width="20.6640625" customWidth="1"/>
    <col min="5" max="26" width="10.6640625" customWidth="1"/>
  </cols>
  <sheetData>
    <row r="1" spans="1:7" ht="14.4" x14ac:dyDescent="0.3">
      <c r="A1" s="1" t="s">
        <v>0</v>
      </c>
    </row>
    <row r="2" spans="1:7" ht="14.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7" ht="14.4" x14ac:dyDescent="0.3">
      <c r="A3" s="1" t="s">
        <v>5</v>
      </c>
      <c r="B3" s="2">
        <v>1220201</v>
      </c>
      <c r="C3" s="2">
        <f t="shared" ref="C3:C10" si="0">B3/30</f>
        <v>40673.366666666669</v>
      </c>
      <c r="D3" s="2">
        <f t="shared" ref="D3:D10" si="1">B3/30/8</f>
        <v>5084.1708333333336</v>
      </c>
    </row>
    <row r="4" spans="1:7" ht="14.4" x14ac:dyDescent="0.3">
      <c r="A4" s="1" t="s">
        <v>6</v>
      </c>
      <c r="B4" s="2">
        <v>1245302</v>
      </c>
      <c r="C4" s="2">
        <f t="shared" si="0"/>
        <v>41510.066666666666</v>
      </c>
      <c r="D4" s="2">
        <f t="shared" si="1"/>
        <v>5188.7583333333332</v>
      </c>
    </row>
    <row r="5" spans="1:7" ht="14.4" x14ac:dyDescent="0.3">
      <c r="A5" s="1" t="s">
        <v>7</v>
      </c>
      <c r="B5" s="2">
        <v>2104561</v>
      </c>
      <c r="C5" s="2">
        <f t="shared" si="0"/>
        <v>70152.03333333334</v>
      </c>
      <c r="D5" s="2">
        <f t="shared" si="1"/>
        <v>8769.0041666666675</v>
      </c>
    </row>
    <row r="6" spans="1:7" ht="14.4" x14ac:dyDescent="0.3">
      <c r="A6" s="1" t="s">
        <v>8</v>
      </c>
      <c r="B6" s="2">
        <v>1134520</v>
      </c>
      <c r="C6" s="2">
        <f>B6/30</f>
        <v>37817.333333333336</v>
      </c>
      <c r="D6" s="2">
        <f t="shared" si="1"/>
        <v>4727.166666666667</v>
      </c>
    </row>
    <row r="7" spans="1:7" ht="14.4" x14ac:dyDescent="0.3">
      <c r="A7" s="1" t="s">
        <v>9</v>
      </c>
      <c r="B7" s="2">
        <v>2200000</v>
      </c>
      <c r="C7" s="2">
        <f t="shared" si="0"/>
        <v>73333.333333333328</v>
      </c>
      <c r="D7" s="2">
        <f t="shared" si="1"/>
        <v>9166.6666666666661</v>
      </c>
    </row>
    <row r="8" spans="1:7" ht="14.4" x14ac:dyDescent="0.3">
      <c r="A8" s="1" t="s">
        <v>10</v>
      </c>
      <c r="B8" s="2">
        <v>2532403</v>
      </c>
      <c r="C8" s="2">
        <f t="shared" si="0"/>
        <v>84413.433333333334</v>
      </c>
      <c r="D8" s="2">
        <f t="shared" si="1"/>
        <v>10551.679166666667</v>
      </c>
    </row>
    <row r="9" spans="1:7" ht="14.4" x14ac:dyDescent="0.3">
      <c r="A9" s="1" t="s">
        <v>11</v>
      </c>
      <c r="B9" s="3">
        <v>1100000</v>
      </c>
      <c r="C9" s="2">
        <f t="shared" si="0"/>
        <v>36666.666666666664</v>
      </c>
      <c r="D9" s="2">
        <f t="shared" si="1"/>
        <v>4583.333333333333</v>
      </c>
    </row>
    <row r="10" spans="1:7" ht="14.4" x14ac:dyDescent="0.3">
      <c r="A10" s="1" t="s">
        <v>12</v>
      </c>
      <c r="B10" s="3">
        <v>500000</v>
      </c>
      <c r="C10" s="2">
        <f t="shared" si="0"/>
        <v>16666.666666666668</v>
      </c>
      <c r="D10" s="2">
        <f t="shared" si="1"/>
        <v>2083.3333333333335</v>
      </c>
    </row>
    <row r="12" spans="1:7" ht="14.4" x14ac:dyDescent="0.3">
      <c r="A12" s="1" t="s">
        <v>13</v>
      </c>
      <c r="B12" s="2">
        <f t="shared" ref="B12:D12" si="2">B3+B4+B5+B6+B7+B8+B9+B10</f>
        <v>12036987</v>
      </c>
      <c r="C12" s="2">
        <f t="shared" si="2"/>
        <v>401232.90000000008</v>
      </c>
      <c r="D12" s="2">
        <f t="shared" si="2"/>
        <v>50154.11250000001</v>
      </c>
    </row>
    <row r="14" spans="1:7" ht="15" customHeight="1" x14ac:dyDescent="0.3">
      <c r="G14" s="2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3" sqref="B13"/>
    </sheetView>
  </sheetViews>
  <sheetFormatPr baseColWidth="10" defaultColWidth="14.44140625" defaultRowHeight="15" customHeight="1" x14ac:dyDescent="0.3"/>
  <cols>
    <col min="1" max="1" width="51.6640625" customWidth="1"/>
    <col min="2" max="2" width="14.88671875" customWidth="1"/>
    <col min="3" max="26" width="10.6640625" customWidth="1"/>
  </cols>
  <sheetData>
    <row r="1" spans="1:2" ht="14.4" x14ac:dyDescent="0.3">
      <c r="A1" s="1" t="s">
        <v>14</v>
      </c>
    </row>
    <row r="2" spans="1:2" ht="14.4" x14ac:dyDescent="0.3">
      <c r="A2" s="1" t="s">
        <v>1</v>
      </c>
      <c r="B2" s="1" t="s">
        <v>15</v>
      </c>
    </row>
    <row r="3" spans="1:2" x14ac:dyDescent="0.3">
      <c r="A3" s="4" t="s">
        <v>16</v>
      </c>
      <c r="B3" s="5">
        <v>500000</v>
      </c>
    </row>
    <row r="4" spans="1:2" x14ac:dyDescent="0.3">
      <c r="A4" s="4" t="s">
        <v>17</v>
      </c>
      <c r="B4" s="6">
        <v>100000</v>
      </c>
    </row>
    <row r="5" spans="1:2" x14ac:dyDescent="0.3">
      <c r="A5" s="4" t="s">
        <v>18</v>
      </c>
      <c r="B5" s="6">
        <v>100000</v>
      </c>
    </row>
    <row r="6" spans="1:2" x14ac:dyDescent="0.3">
      <c r="A6" s="4" t="s">
        <v>19</v>
      </c>
      <c r="B6" s="7">
        <v>200000</v>
      </c>
    </row>
    <row r="7" spans="1:2" x14ac:dyDescent="0.3">
      <c r="A7" s="4" t="s">
        <v>20</v>
      </c>
      <c r="B7" s="7">
        <v>500000</v>
      </c>
    </row>
    <row r="9" spans="1:2" ht="14.4" x14ac:dyDescent="0.3">
      <c r="A9" s="8" t="s">
        <v>21</v>
      </c>
      <c r="B9" s="9">
        <f>SUM(B2:B7)</f>
        <v>1400000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C7" sqref="C7"/>
    </sheetView>
  </sheetViews>
  <sheetFormatPr baseColWidth="10" defaultColWidth="14.44140625" defaultRowHeight="15" customHeight="1" x14ac:dyDescent="0.3"/>
  <cols>
    <col min="1" max="1" width="24" customWidth="1"/>
    <col min="2" max="2" width="17.33203125" customWidth="1"/>
    <col min="3" max="3" width="14.5546875" customWidth="1"/>
    <col min="4" max="4" width="14.33203125" customWidth="1"/>
    <col min="5" max="5" width="13.33203125" customWidth="1"/>
    <col min="6" max="26" width="10.6640625" customWidth="1"/>
  </cols>
  <sheetData>
    <row r="1" spans="1:5" ht="14.4" x14ac:dyDescent="0.3">
      <c r="A1" s="1" t="s">
        <v>22</v>
      </c>
    </row>
    <row r="2" spans="1:5" ht="14.4" x14ac:dyDescent="0.3">
      <c r="A2" s="10" t="s">
        <v>23</v>
      </c>
      <c r="B2" s="1" t="s">
        <v>24</v>
      </c>
      <c r="C2" s="1" t="s">
        <v>15</v>
      </c>
      <c r="D2" s="1" t="s">
        <v>25</v>
      </c>
      <c r="E2" s="1" t="s">
        <v>26</v>
      </c>
    </row>
    <row r="3" spans="1:5" ht="14.4" x14ac:dyDescent="0.3">
      <c r="A3" s="1" t="s">
        <v>27</v>
      </c>
      <c r="B3" s="1" t="s">
        <v>28</v>
      </c>
      <c r="C3" s="2">
        <v>74000</v>
      </c>
      <c r="D3" s="2">
        <f>C3/3</f>
        <v>24666.666666666668</v>
      </c>
      <c r="E3" s="2">
        <f>C3/3/8</f>
        <v>3083.3333333333335</v>
      </c>
    </row>
    <row r="4" spans="1:5" ht="14.4" x14ac:dyDescent="0.3">
      <c r="A4" s="1" t="s">
        <v>29</v>
      </c>
      <c r="B4" s="1" t="s">
        <v>30</v>
      </c>
      <c r="C4" s="2">
        <v>200000</v>
      </c>
      <c r="D4" s="2">
        <f t="shared" ref="D4:D5" si="0">C4/7</f>
        <v>28571.428571428572</v>
      </c>
      <c r="E4" s="2">
        <f t="shared" ref="E4:E5" si="1">C4/7/8</f>
        <v>3571.4285714285716</v>
      </c>
    </row>
    <row r="5" spans="1:5" ht="14.4" x14ac:dyDescent="0.3">
      <c r="A5" s="1" t="s">
        <v>31</v>
      </c>
      <c r="B5" s="1" t="s">
        <v>30</v>
      </c>
      <c r="C5" s="2">
        <v>600672</v>
      </c>
      <c r="D5" s="2">
        <f t="shared" si="0"/>
        <v>85810.28571428571</v>
      </c>
      <c r="E5" s="2">
        <f t="shared" si="1"/>
        <v>10726.285714285714</v>
      </c>
    </row>
    <row r="6" spans="1:5" ht="14.4" x14ac:dyDescent="0.3">
      <c r="A6" s="1" t="s">
        <v>32</v>
      </c>
      <c r="B6" s="1" t="s">
        <v>28</v>
      </c>
      <c r="C6" s="2">
        <v>300000</v>
      </c>
      <c r="D6" s="2">
        <f>C6/3</f>
        <v>100000</v>
      </c>
      <c r="E6" s="2">
        <f>C6/3/8</f>
        <v>12500</v>
      </c>
    </row>
    <row r="7" spans="1:5" ht="14.4" x14ac:dyDescent="0.3">
      <c r="A7" s="1" t="s">
        <v>33</v>
      </c>
      <c r="B7" s="1" t="s">
        <v>34</v>
      </c>
      <c r="C7" s="2">
        <v>463032</v>
      </c>
      <c r="D7" s="2">
        <f>C7/2</f>
        <v>231516</v>
      </c>
      <c r="E7" s="2">
        <f>C7/2/8</f>
        <v>28939.5</v>
      </c>
    </row>
    <row r="9" spans="1:5" ht="14.4" x14ac:dyDescent="0.3">
      <c r="A9" s="1" t="s">
        <v>35</v>
      </c>
      <c r="C9" s="2">
        <f t="shared" ref="C9:E9" si="2">C3+C4+C5+C6+C7</f>
        <v>1637704</v>
      </c>
      <c r="D9" s="11">
        <f t="shared" si="2"/>
        <v>470564.38095238095</v>
      </c>
      <c r="E9" s="11">
        <f t="shared" si="2"/>
        <v>58820.547619047618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D8" sqref="D7:D8"/>
    </sheetView>
  </sheetViews>
  <sheetFormatPr baseColWidth="10" defaultColWidth="14.44140625" defaultRowHeight="15" customHeight="1" x14ac:dyDescent="0.3"/>
  <cols>
    <col min="1" max="1" width="43.88671875" customWidth="1"/>
    <col min="2" max="2" width="25.33203125" customWidth="1"/>
    <col min="3" max="3" width="13.109375" customWidth="1"/>
    <col min="4" max="26" width="10.6640625" customWidth="1"/>
  </cols>
  <sheetData>
    <row r="1" spans="1:3" ht="14.4" x14ac:dyDescent="0.3">
      <c r="A1" s="1" t="s">
        <v>36</v>
      </c>
    </row>
    <row r="2" spans="1:3" ht="14.4" x14ac:dyDescent="0.3">
      <c r="A2" s="1" t="s">
        <v>1</v>
      </c>
      <c r="B2" s="1" t="s">
        <v>37</v>
      </c>
      <c r="C2" s="1" t="s">
        <v>38</v>
      </c>
    </row>
    <row r="3" spans="1:3" ht="14.4" x14ac:dyDescent="0.3">
      <c r="A3" s="1" t="s">
        <v>39</v>
      </c>
      <c r="B3" s="12">
        <v>300000</v>
      </c>
      <c r="C3" s="2">
        <v>1800000</v>
      </c>
    </row>
    <row r="4" spans="1:3" ht="14.4" x14ac:dyDescent="0.3">
      <c r="A4" s="1" t="s">
        <v>40</v>
      </c>
      <c r="B4" s="12">
        <v>150000</v>
      </c>
      <c r="C4" s="2">
        <v>900000</v>
      </c>
    </row>
    <row r="5" spans="1:3" ht="14.4" x14ac:dyDescent="0.3">
      <c r="A5" s="1" t="s">
        <v>41</v>
      </c>
      <c r="B5" s="12">
        <v>150000</v>
      </c>
      <c r="C5" s="2">
        <v>900000</v>
      </c>
    </row>
    <row r="7" spans="1:3" ht="14.4" x14ac:dyDescent="0.3">
      <c r="A7" s="8" t="s">
        <v>35</v>
      </c>
      <c r="B7" s="1">
        <f t="shared" ref="B7:C7" si="0">SUM(B2:B5)</f>
        <v>600000</v>
      </c>
      <c r="C7" s="1">
        <f t="shared" si="0"/>
        <v>3600000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activeCell="B6" sqref="B6"/>
    </sheetView>
  </sheetViews>
  <sheetFormatPr baseColWidth="10" defaultColWidth="14.44140625" defaultRowHeight="15" customHeight="1" x14ac:dyDescent="0.3"/>
  <cols>
    <col min="1" max="1" width="43.33203125" customWidth="1"/>
    <col min="2" max="2" width="15" customWidth="1"/>
    <col min="3" max="26" width="10.6640625" customWidth="1"/>
  </cols>
  <sheetData>
    <row r="1" spans="1:2" ht="14.4" x14ac:dyDescent="0.3">
      <c r="A1" s="1" t="s">
        <v>42</v>
      </c>
    </row>
    <row r="2" spans="1:2" ht="14.4" x14ac:dyDescent="0.3">
      <c r="A2" s="1" t="s">
        <v>1</v>
      </c>
      <c r="B2" s="1" t="s">
        <v>15</v>
      </c>
    </row>
    <row r="3" spans="1:2" ht="14.4" x14ac:dyDescent="0.3">
      <c r="A3" s="1" t="s">
        <v>43</v>
      </c>
      <c r="B3" s="2">
        <v>300000</v>
      </c>
    </row>
    <row r="4" spans="1:2" ht="14.4" x14ac:dyDescent="0.3">
      <c r="A4" s="1" t="s">
        <v>44</v>
      </c>
      <c r="B4" s="2">
        <v>250000</v>
      </c>
    </row>
    <row r="5" spans="1:2" ht="14.4" x14ac:dyDescent="0.3">
      <c r="A5" s="1" t="s">
        <v>45</v>
      </c>
      <c r="B5" s="2">
        <v>350000</v>
      </c>
    </row>
    <row r="7" spans="1:2" ht="14.4" x14ac:dyDescent="0.3">
      <c r="A7" s="1" t="s">
        <v>21</v>
      </c>
      <c r="B7" s="2">
        <f>B3+B4+B5</f>
        <v>900000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B4" sqref="B4"/>
    </sheetView>
  </sheetViews>
  <sheetFormatPr baseColWidth="10" defaultColWidth="14.44140625" defaultRowHeight="15" customHeight="1" x14ac:dyDescent="0.3"/>
  <cols>
    <col min="1" max="1" width="37.88671875" customWidth="1"/>
    <col min="2" max="2" width="96" customWidth="1"/>
    <col min="3" max="26" width="10.6640625" customWidth="1"/>
  </cols>
  <sheetData>
    <row r="1" spans="1:2" ht="14.4" x14ac:dyDescent="0.3">
      <c r="A1" s="1" t="s">
        <v>0</v>
      </c>
    </row>
    <row r="2" spans="1:2" ht="14.4" x14ac:dyDescent="0.3">
      <c r="A2" s="1" t="s">
        <v>1</v>
      </c>
      <c r="B2" s="1" t="s">
        <v>46</v>
      </c>
    </row>
    <row r="3" spans="1:2" ht="14.4" x14ac:dyDescent="0.3">
      <c r="A3" s="1" t="s">
        <v>5</v>
      </c>
      <c r="B3" s="18" t="s">
        <v>47</v>
      </c>
    </row>
    <row r="4" spans="1:2" ht="14.4" x14ac:dyDescent="0.3">
      <c r="A4" s="1" t="s">
        <v>6</v>
      </c>
      <c r="B4" s="18" t="s">
        <v>48</v>
      </c>
    </row>
    <row r="5" spans="1:2" ht="14.4" x14ac:dyDescent="0.3">
      <c r="A5" s="1" t="s">
        <v>7</v>
      </c>
      <c r="B5" s="14" t="s">
        <v>49</v>
      </c>
    </row>
    <row r="6" spans="1:2" ht="14.4" x14ac:dyDescent="0.3">
      <c r="A6" s="1" t="s">
        <v>8</v>
      </c>
      <c r="B6" s="15" t="s">
        <v>50</v>
      </c>
    </row>
    <row r="7" spans="1:2" ht="14.4" x14ac:dyDescent="0.3">
      <c r="A7" s="1" t="s">
        <v>9</v>
      </c>
      <c r="B7" s="15" t="s">
        <v>51</v>
      </c>
    </row>
    <row r="8" spans="1:2" ht="14.4" x14ac:dyDescent="0.3">
      <c r="A8" s="1" t="s">
        <v>10</v>
      </c>
      <c r="B8" s="15" t="s">
        <v>52</v>
      </c>
    </row>
    <row r="9" spans="1:2" ht="14.4" x14ac:dyDescent="0.3">
      <c r="A9" s="1" t="s">
        <v>11</v>
      </c>
      <c r="B9" s="14" t="s">
        <v>53</v>
      </c>
    </row>
    <row r="10" spans="1:2" ht="14.4" x14ac:dyDescent="0.3">
      <c r="A10" s="1" t="s">
        <v>12</v>
      </c>
      <c r="B10" s="14" t="s">
        <v>54</v>
      </c>
    </row>
    <row r="11" spans="1:2" ht="15" customHeight="1" x14ac:dyDescent="0.3">
      <c r="A11" t="s">
        <v>78</v>
      </c>
      <c r="B11" s="19" t="s">
        <v>79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B3" r:id="rId1" xr:uid="{00000000-0004-0000-0500-000000000000}"/>
    <hyperlink ref="B4" r:id="rId2" xr:uid="{00000000-0004-0000-0500-000001000000}"/>
    <hyperlink ref="B5" r:id="rId3" xr:uid="{00000000-0004-0000-0500-000002000000}"/>
    <hyperlink ref="B6" r:id="rId4" xr:uid="{00000000-0004-0000-0500-000003000000}"/>
    <hyperlink ref="B7" r:id="rId5" xr:uid="{00000000-0004-0000-0500-000004000000}"/>
    <hyperlink ref="B8" r:id="rId6" xr:uid="{00000000-0004-0000-0500-000005000000}"/>
    <hyperlink ref="B9" r:id="rId7" xr:uid="{00000000-0004-0000-0500-000006000000}"/>
    <hyperlink ref="B10" r:id="rId8" xr:uid="{00000000-0004-0000-0500-000007000000}"/>
    <hyperlink ref="B11" r:id="rId9" display="https://www.ktronix.com/computadores-tablet/computadores-portatiles/c/BI_104_KTRON" xr:uid="{70ED2CAD-58EB-4831-AF62-3C1EE32F8DA9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tabSelected="1" topLeftCell="A14" workbookViewId="0">
      <selection activeCell="F22" sqref="F22"/>
    </sheetView>
  </sheetViews>
  <sheetFormatPr baseColWidth="10" defaultColWidth="14.44140625" defaultRowHeight="15" customHeight="1" x14ac:dyDescent="0.3"/>
  <cols>
    <col min="1" max="1" width="15.109375" customWidth="1"/>
    <col min="2" max="2" width="18.6640625" customWidth="1"/>
    <col min="3" max="3" width="10.6640625" customWidth="1"/>
    <col min="4" max="4" width="19.5546875" customWidth="1"/>
    <col min="5" max="8" width="10.6640625" customWidth="1"/>
    <col min="9" max="9" width="14.109375" customWidth="1"/>
    <col min="10" max="26" width="10.6640625" customWidth="1"/>
  </cols>
  <sheetData>
    <row r="1" spans="1:9" ht="28.8" x14ac:dyDescent="0.3">
      <c r="A1" s="10" t="s">
        <v>55</v>
      </c>
      <c r="B1" s="10" t="s">
        <v>1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26</v>
      </c>
    </row>
    <row r="2" spans="1:9" ht="28.8" x14ac:dyDescent="0.3">
      <c r="A2" s="16" t="s">
        <v>60</v>
      </c>
      <c r="B2" s="17" t="s">
        <v>5</v>
      </c>
      <c r="C2" s="17">
        <v>1</v>
      </c>
      <c r="D2" s="3">
        <v>3000000</v>
      </c>
      <c r="E2" s="17">
        <v>2</v>
      </c>
      <c r="F2" s="3">
        <v>6000000</v>
      </c>
      <c r="G2" s="2">
        <f t="shared" ref="G2:G13" si="0">F2/(30*2)/8</f>
        <v>12500</v>
      </c>
      <c r="I2" s="18"/>
    </row>
    <row r="3" spans="1:9" ht="28.8" x14ac:dyDescent="0.3">
      <c r="A3" s="17"/>
      <c r="B3" s="17" t="s">
        <v>6</v>
      </c>
      <c r="C3" s="17">
        <v>1</v>
      </c>
      <c r="D3" s="3">
        <v>3500000</v>
      </c>
      <c r="E3" s="17">
        <v>2</v>
      </c>
      <c r="F3" s="3">
        <v>7000000</v>
      </c>
      <c r="G3" s="2">
        <f t="shared" si="0"/>
        <v>14583.333333333334</v>
      </c>
      <c r="I3" s="13"/>
    </row>
    <row r="4" spans="1:9" ht="28.8" x14ac:dyDescent="0.3">
      <c r="A4" s="17"/>
      <c r="B4" s="17" t="s">
        <v>61</v>
      </c>
      <c r="C4" s="17">
        <v>1</v>
      </c>
      <c r="D4" s="3">
        <v>4000000</v>
      </c>
      <c r="E4" s="17">
        <v>2</v>
      </c>
      <c r="F4" s="3">
        <v>8000000</v>
      </c>
      <c r="G4" s="2">
        <f t="shared" si="0"/>
        <v>16666.666666666668</v>
      </c>
    </row>
    <row r="5" spans="1:9" ht="14.4" x14ac:dyDescent="0.3">
      <c r="A5" s="17"/>
      <c r="B5" s="17" t="s">
        <v>62</v>
      </c>
      <c r="C5" s="17">
        <v>1</v>
      </c>
      <c r="D5" s="3">
        <v>2500000</v>
      </c>
      <c r="E5" s="17">
        <v>1</v>
      </c>
      <c r="F5" s="3">
        <v>2500000</v>
      </c>
      <c r="G5" s="2">
        <f t="shared" si="0"/>
        <v>5208.333333333333</v>
      </c>
    </row>
    <row r="6" spans="1:9" ht="28.8" x14ac:dyDescent="0.3">
      <c r="A6" s="17"/>
      <c r="B6" s="17" t="s">
        <v>63</v>
      </c>
      <c r="C6" s="17">
        <v>1</v>
      </c>
      <c r="D6" s="3">
        <v>2000000</v>
      </c>
      <c r="E6" s="17">
        <v>1</v>
      </c>
      <c r="F6" s="3">
        <v>2000000</v>
      </c>
      <c r="G6" s="2">
        <f t="shared" si="0"/>
        <v>4166.666666666667</v>
      </c>
    </row>
    <row r="7" spans="1:9" ht="28.8" x14ac:dyDescent="0.3">
      <c r="A7" s="16" t="s">
        <v>64</v>
      </c>
      <c r="B7" s="17" t="s">
        <v>65</v>
      </c>
      <c r="C7" s="17">
        <v>1</v>
      </c>
      <c r="D7" s="3">
        <v>500000</v>
      </c>
      <c r="E7" s="17">
        <v>1</v>
      </c>
      <c r="F7" s="3">
        <v>500000</v>
      </c>
      <c r="G7" s="2">
        <f t="shared" si="0"/>
        <v>1041.6666666666667</v>
      </c>
    </row>
    <row r="8" spans="1:9" ht="28.8" x14ac:dyDescent="0.3">
      <c r="A8" s="17"/>
      <c r="B8" s="17" t="s">
        <v>66</v>
      </c>
      <c r="C8" s="17">
        <v>1</v>
      </c>
      <c r="D8" s="3">
        <v>400000</v>
      </c>
      <c r="E8" s="17">
        <v>2</v>
      </c>
      <c r="F8" s="3">
        <v>800000</v>
      </c>
      <c r="G8" s="2">
        <f t="shared" si="0"/>
        <v>1666.6666666666667</v>
      </c>
    </row>
    <row r="9" spans="1:9" ht="14.4" x14ac:dyDescent="0.3">
      <c r="A9" s="17"/>
      <c r="B9" s="17" t="s">
        <v>67</v>
      </c>
      <c r="C9" s="17">
        <v>1</v>
      </c>
      <c r="D9" s="3">
        <v>50000</v>
      </c>
      <c r="E9" s="17">
        <v>1</v>
      </c>
      <c r="F9" s="3">
        <v>50000</v>
      </c>
      <c r="G9" s="2">
        <f t="shared" si="0"/>
        <v>104.16666666666667</v>
      </c>
    </row>
    <row r="10" spans="1:9" ht="14.4" x14ac:dyDescent="0.3">
      <c r="A10" s="16" t="s">
        <v>68</v>
      </c>
      <c r="B10" s="17" t="s">
        <v>80</v>
      </c>
      <c r="C10" s="17">
        <v>2</v>
      </c>
      <c r="D10" s="3">
        <v>2200030</v>
      </c>
      <c r="E10" s="17">
        <v>2</v>
      </c>
      <c r="F10" s="3">
        <f>D10/30</f>
        <v>73334.333333333328</v>
      </c>
      <c r="G10" s="2">
        <f>D10/30/8</f>
        <v>9166.7916666666661</v>
      </c>
    </row>
    <row r="11" spans="1:9" ht="14.4" x14ac:dyDescent="0.3">
      <c r="A11" s="17"/>
      <c r="B11" s="17" t="s">
        <v>69</v>
      </c>
      <c r="C11" s="17">
        <v>1</v>
      </c>
      <c r="D11" s="3">
        <v>100000</v>
      </c>
      <c r="E11" s="17">
        <v>2</v>
      </c>
      <c r="F11" s="3">
        <v>300000</v>
      </c>
      <c r="G11" s="2">
        <f t="shared" si="0"/>
        <v>625</v>
      </c>
    </row>
    <row r="12" spans="1:9" ht="14.4" x14ac:dyDescent="0.3">
      <c r="A12" s="17"/>
      <c r="B12" s="17" t="s">
        <v>70</v>
      </c>
      <c r="C12" s="17">
        <v>1</v>
      </c>
      <c r="D12" s="3">
        <v>100000</v>
      </c>
      <c r="E12" s="17">
        <v>2</v>
      </c>
      <c r="F12" s="3">
        <v>200000</v>
      </c>
      <c r="G12" s="2">
        <f t="shared" si="0"/>
        <v>416.66666666666669</v>
      </c>
    </row>
    <row r="13" spans="1:9" ht="28.8" x14ac:dyDescent="0.3">
      <c r="A13" s="16" t="s">
        <v>71</v>
      </c>
      <c r="B13" s="17" t="s">
        <v>72</v>
      </c>
      <c r="C13" s="17">
        <v>1</v>
      </c>
      <c r="D13" s="3">
        <v>50000</v>
      </c>
      <c r="E13" s="17">
        <v>1</v>
      </c>
      <c r="F13" s="3">
        <v>50000</v>
      </c>
      <c r="G13" s="2">
        <f t="shared" si="0"/>
        <v>104.16666666666667</v>
      </c>
    </row>
    <row r="14" spans="1:9" ht="14.4" x14ac:dyDescent="0.3">
      <c r="A14" s="17"/>
      <c r="B14" s="17" t="s">
        <v>73</v>
      </c>
      <c r="C14" s="17" t="s">
        <v>74</v>
      </c>
      <c r="D14" s="17" t="s">
        <v>74</v>
      </c>
      <c r="E14" s="17" t="s">
        <v>74</v>
      </c>
      <c r="F14" s="3">
        <v>1385000</v>
      </c>
      <c r="G14" s="1" t="s">
        <v>75</v>
      </c>
      <c r="H14" s="2">
        <f>F14/(30*2)/8</f>
        <v>2885.4166666666665</v>
      </c>
    </row>
    <row r="15" spans="1:9" ht="28.8" x14ac:dyDescent="0.3">
      <c r="A15" s="17"/>
      <c r="B15" s="17" t="s">
        <v>76</v>
      </c>
      <c r="C15" s="17">
        <v>1</v>
      </c>
      <c r="D15" s="17">
        <v>1000000</v>
      </c>
      <c r="E15" s="17">
        <v>1</v>
      </c>
      <c r="F15" s="3">
        <v>1000000</v>
      </c>
      <c r="G15" s="2">
        <f t="shared" ref="F15:G16" si="1">F15/(30*2)/8</f>
        <v>2083.3333333333335</v>
      </c>
    </row>
    <row r="16" spans="1:9" ht="14.4" x14ac:dyDescent="0.3">
      <c r="A16" s="17"/>
      <c r="B16" s="17" t="s">
        <v>39</v>
      </c>
      <c r="C16" s="17">
        <v>1</v>
      </c>
      <c r="D16" s="3">
        <v>1000000</v>
      </c>
      <c r="E16" s="3">
        <v>1000000</v>
      </c>
      <c r="F16" s="2">
        <f t="shared" si="1"/>
        <v>2083.3333333333335</v>
      </c>
    </row>
    <row r="18" spans="1:7" ht="15" customHeight="1" x14ac:dyDescent="0.3">
      <c r="D18" s="11"/>
    </row>
    <row r="19" spans="1:7" ht="14.4" x14ac:dyDescent="0.3">
      <c r="A19" s="1" t="s">
        <v>77</v>
      </c>
      <c r="C19" t="s">
        <v>81</v>
      </c>
      <c r="F19" s="2"/>
      <c r="G19" s="11"/>
    </row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 Mauricio Bautista Bejarano</cp:lastModifiedBy>
  <dcterms:created xsi:type="dcterms:W3CDTF">2025-07-03T19:11:29Z</dcterms:created>
  <dcterms:modified xsi:type="dcterms:W3CDTF">2025-12-17T01:53:15Z</dcterms:modified>
</cp:coreProperties>
</file>