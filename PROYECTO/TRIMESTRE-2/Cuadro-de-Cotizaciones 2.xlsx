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VID BENAVIDES\Downloads\TRABAJO\"/>
    </mc:Choice>
  </mc:AlternateContent>
  <xr:revisionPtr revIDLastSave="0" documentId="13_ncr:1_{F9E50AA9-4047-421D-96ED-8833FF81E413}" xr6:coauthVersionLast="47" xr6:coauthVersionMax="47" xr10:uidLastSave="{00000000-0000-0000-0000-000000000000}"/>
  <bookViews>
    <workbookView xWindow="-120" yWindow="-120" windowWidth="20730" windowHeight="11040" xr2:uid="{00000000-000D-0000-FFFF-FFFF00000000}"/>
  </bookViews>
  <sheets>
    <sheet name="Servidor Local" sheetId="1" r:id="rId1"/>
    <sheet name="Equipo admin" sheetId="2" r:id="rId2"/>
    <sheet name="Equipo programador" sheetId="3" r:id="rId3"/>
    <sheet name="Equipo empleados" sheetId="4" r:id="rId4"/>
    <sheet name="Pantalla" sheetId="5" r:id="rId5"/>
    <sheet name="Mouse" sheetId="6" r:id="rId6"/>
    <sheet name="Teclado" sheetId="7" r:id="rId7"/>
    <sheet name="Dominio" sheetId="8" r:id="rId8"/>
    <sheet name="Licencias Microsoft" sheetId="9" r:id="rId9"/>
    <sheet name="Licencias de Windows" sheetId="10" r:id="rId10"/>
    <sheet name="Windows Server" sheetId="11" r:id="rId11"/>
    <sheet name="Visual Studio" sheetId="12" r:id="rId12"/>
    <sheet name="Bases de Datos" sheetId="13" r:id="rId1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8" i="1" l="1"/>
  <c r="G9" i="1"/>
  <c r="G10" i="1"/>
  <c r="G11" i="1"/>
  <c r="G8" i="1"/>
  <c r="H8" i="3"/>
  <c r="G9" i="3"/>
  <c r="G10" i="3"/>
  <c r="H10" i="3" s="1"/>
  <c r="G8" i="3"/>
  <c r="H8" i="4"/>
  <c r="G8" i="4"/>
  <c r="G9" i="4"/>
  <c r="G10" i="4"/>
  <c r="G11" i="4"/>
  <c r="H9" i="5"/>
  <c r="H10" i="5"/>
  <c r="H8" i="5"/>
  <c r="G9" i="5"/>
  <c r="G10" i="5"/>
  <c r="G8" i="5"/>
  <c r="H9" i="6"/>
  <c r="H10" i="6"/>
  <c r="H8" i="6"/>
  <c r="G9" i="6"/>
  <c r="G10" i="6"/>
  <c r="G8" i="6"/>
  <c r="H9" i="7"/>
  <c r="H10" i="7"/>
  <c r="H8" i="7"/>
  <c r="G9" i="7"/>
  <c r="G10" i="7"/>
  <c r="G8" i="7"/>
  <c r="G8" i="8"/>
  <c r="H9" i="8"/>
  <c r="H10" i="8"/>
  <c r="H8" i="8"/>
  <c r="G9" i="8"/>
  <c r="G10" i="8"/>
  <c r="H9" i="9"/>
  <c r="H10" i="9"/>
  <c r="H8" i="9"/>
  <c r="G9" i="9"/>
  <c r="G10" i="9"/>
  <c r="G8" i="9"/>
  <c r="H9" i="10"/>
  <c r="H10" i="10"/>
  <c r="H8" i="10"/>
  <c r="G9" i="10"/>
  <c r="G10" i="10"/>
  <c r="G8" i="10"/>
  <c r="H8" i="13"/>
  <c r="G9" i="13"/>
  <c r="G10" i="13"/>
  <c r="H10" i="13" s="1"/>
  <c r="G8" i="13"/>
  <c r="G8" i="12"/>
  <c r="H9" i="11"/>
  <c r="H10" i="11"/>
  <c r="H8" i="11"/>
  <c r="G9" i="11"/>
  <c r="G10" i="11"/>
  <c r="G8" i="11"/>
  <c r="H9" i="12"/>
  <c r="H10" i="12"/>
  <c r="G9" i="12"/>
  <c r="G10" i="12"/>
  <c r="H8" i="12"/>
  <c r="H9" i="13"/>
  <c r="H9" i="3"/>
  <c r="F9" i="3"/>
  <c r="F10" i="3"/>
  <c r="F8" i="3"/>
  <c r="G9" i="2"/>
  <c r="G10" i="2"/>
  <c r="G11" i="2"/>
  <c r="G8" i="2"/>
  <c r="H9" i="1"/>
  <c r="H10" i="1"/>
  <c r="H11" i="1"/>
  <c r="F9" i="13"/>
  <c r="F8" i="13"/>
  <c r="F10" i="12"/>
  <c r="F9" i="12"/>
  <c r="F8" i="12"/>
  <c r="F10" i="11"/>
  <c r="F8" i="11"/>
  <c r="F10" i="9"/>
  <c r="F9" i="8"/>
  <c r="F8" i="8"/>
  <c r="F9" i="7"/>
  <c r="F8" i="7"/>
  <c r="F9" i="6"/>
  <c r="F9" i="5"/>
  <c r="F10" i="5"/>
  <c r="F8" i="5"/>
  <c r="H9" i="2"/>
  <c r="F9" i="4"/>
  <c r="F10" i="4"/>
  <c r="F8" i="4"/>
  <c r="F11" i="2"/>
  <c r="F10" i="2"/>
  <c r="H10" i="2" s="1"/>
  <c r="F8" i="2"/>
  <c r="F11" i="1"/>
  <c r="F10" i="1"/>
  <c r="F8" i="1"/>
  <c r="F10" i="13"/>
  <c r="F9" i="11"/>
  <c r="E11" i="10"/>
  <c r="F10" i="10"/>
  <c r="F9" i="10"/>
  <c r="F8" i="10"/>
  <c r="F9" i="9"/>
  <c r="F8" i="9"/>
  <c r="F10" i="8"/>
  <c r="F10" i="7"/>
  <c r="F10" i="6"/>
  <c r="F8" i="6"/>
  <c r="E11" i="4"/>
  <c r="F11" i="4" s="1"/>
  <c r="H11" i="4" l="1"/>
  <c r="H8" i="2"/>
  <c r="H11" i="2"/>
  <c r="H9" i="4"/>
  <c r="H10" i="4"/>
</calcChain>
</file>

<file path=xl/sharedStrings.xml><?xml version="1.0" encoding="utf-8"?>
<sst xmlns="http://schemas.openxmlformats.org/spreadsheetml/2006/main" count="403" uniqueCount="254">
  <si>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</si>
  <si>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</si>
  <si>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</si>
  <si>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</si>
  <si>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</si>
  <si>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</si>
  <si>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</si>
  <si>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</si>
  <si>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</si>
  <si>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</si>
  <si>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</si>
  <si>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</si>
  <si>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</si>
  <si>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Contado</t>
  </si>
  <si>
    <t>Nº 2</t>
  </si>
  <si>
    <t>EBAY</t>
  </si>
  <si>
    <t>Nº 3</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</si>
  <si>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</si>
  <si>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</si>
  <si>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</si>
  <si>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</si>
  <si>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</si>
  <si>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</si>
  <si>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</si>
  <si>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</si>
  <si>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HP</t>
  </si>
  <si>
    <t>HP 24-cr0013la</t>
  </si>
  <si>
    <t>Sistema Operativo
Windows 11 Home Single Language en modo S
Procesador
AMD Ryzen™ 5 7520U (velocidad máxima de hasta 4,3 GHz, 4 MB de caché L3, 4 núcleos y 8 subprocesos)
Número De Nota Al Pie Del Nombre Del Procesador
[6] La tecnología de procesadores multinúcleo está diseñada para mejorar el desempeño de determinados productos de software. No todos los clientes ni todas las aplicaciones de software se beneficiarán necesariamente del uso de esta tecnología. El desempeño y la velocidad varían según la carga de trabajo de las aplicaciones y las configuraciones del hardware y software. El sistema de numeración de AMD no es una medición de velocidad.
[7] El desempeño de la frecuencia de velocidad máxima varía según el hardware, el software y la configuración general del sistema.
Familia De Procesador
Procesador AMD Ryzen™ 5
Factor De Forma
All-in-One
Memoria
Memoria, Estándar
16 GB de RAM LPDDR5-5500 MHz (incorporada)
Noat Sobre Memoria Estándar
Velocidades de transferencia de hasta 5500 MT/s.
Almacenamiento
Descripción Del Disco Duro
Unidad de estado sólido (SSD) PCIe® NVMe™ M.2 de 1TB
Servicios En La Nube
Almacenamiento en Dropbox de 25 GB durante 12 meses
Pantalla Y Gráficos
Monitor
Pantalla FHD (1920 x 1080) IPS, de 23,8" (60,5 cm), con microbordes en tres lados, antirreflejante, 250 nits y 99% sRGB
Gráficos
Gráficos AMD Radeon™
Características De Expansión
Ubicación Del Puerto De E/S
Trasero
Puertos
1 USB Tipo-C® con velocidad de señalización de 5 Gb/s; 2 USB Tipo-A con velocidad de señalización de 5 Gb/s; 2 USB 2.0 Tipo-A; 1 combinación de auriculares y micrófono; 1 RJ-45
Ranuras De Expansión
2 M.2 (1 para SSD, 1 para WLAN)
Conectores De Video
1 salida HDMI 1.4
Dispositivos De Medios
Funciones De Audio
Altavoces dobles de 2 W
Cámara Web
Cámara de privacidad FHD HP True Vision inclinable de 1080p e infrarrojos con reducción de ruido temporal y micrófonos digitales integrados de doble matriz
Dispositivos De Entrada
Teclado
HP 510SP Black Wireless Keyboard and Mouse Combo
Comunicaciones
Interfaz De Red
LAN 10/100/1000 GbE integrada
Inalámbrico
Tarjeta inalámbrica Realtek Wi-Fi 6 (1x1) y Bluetooth® 5.3
Número De Nota Al Pie De Tecnologías Inalámbricas
[11] Wi-Fi 5 o 6 se diseñó para ser compatibles con velocidades gigabit al transferir archivos entre dos dispositivos conectados al mismo enrutador. Requiere un enrutador inalámbrico, que se vende por separado, y admite canales a partir de 80 MHz.
[12] Se requiere punto de acceso inalámbrico y servicio de Internet que se venden por separado. La disponibilidad de puntos de acceso inalámbrico público es limitada. Wi-Fi 6 cuenta con compatibilidad retroactiva con especificaciones 802.11 anteriores. Sólo está disponible en países en los que se admite Wi-Fi 6.
[13] Bluetooth® es una marca comercial que le pertenece a su propietario y que HP Inc. usa bajo licencia. El funcionamiento de Bluetooth® 5.3 requiere compatibilidad con Microsoft OS/Chrome OS. Hasta que esté disponible la compatibilidad con Microsoft OS/Chrome OS, Bluetooth® 5.3 funcionará como Bluetooth® 5.2 o inferior.
Requisitos De Fuente De Alimentación Y Operacionales
Tipo De Fuente De Alimentación
Adaptador de CA Smart de 90 W
Eficiencia De Energía
Registro EPEAT®
Ambiental
40% de plástico reciclado posconsumo; Plástico de origen oceánico reciclado; 10% de metal reciclado
Dimensiones Y Peso
Dimensiones Mínimas (Anch. X Prof. X Alt.)
54,05 x 18,63 x 48,49 cm
Dimensiones Del Embalaje (An X F X Al)
64 x 17,5 x 46 cm
Peso
5,53 kg
Peso Del Embalaje
9,6 kg
Diseño
Color De Producto
Negro
Diseño De Productos
Acabado texturizado, soporte de primera calidad</t>
  </si>
  <si>
    <t>FALABELLA</t>
  </si>
  <si>
    <t>ALKOSTO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</si>
  <si>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</si>
  <si>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</si>
  <si>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</si>
  <si>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</si>
  <si>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</si>
  <si>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</si>
  <si>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</si>
  <si>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</si>
  <si>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Nº1</t>
  </si>
  <si>
    <t>MacBook Pro 16" M3</t>
  </si>
  <si>
    <t>contado</t>
  </si>
  <si>
    <t>Mercado libre</t>
  </si>
  <si>
    <t>https://www.mercadolibre.com.co/macbook-pro-macbook-pro-16-m3-pro-space-black-16-apple-m3-m3-pro-18gb-de-ram-512gb-ssd-apple-gpu-120-hz-3456x2234px-macos/p/MCO28766788?pdp_filters=category:MCO1652#searchVariation=MCO28766788&amp;position=3&amp;search_layout=stack&amp;type=product&amp;tracking_id=429908a8-f413-460a-ab94-8995518af673</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</si>
  <si>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</si>
  <si>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</si>
  <si>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</si>
  <si>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</si>
  <si>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</si>
  <si>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</si>
  <si>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</si>
  <si>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</si>
  <si>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Mercado Libre</t>
  </si>
  <si>
    <t>HP 205 G4</t>
  </si>
  <si>
    <t>HP 205 G5</t>
  </si>
  <si>
    <t>Sistema Operativo windows 11 home       
Windows 11 Pro
Procesador	
AMD Ryzen 3 3250U
Memoria RAM	
8 GB
Capacidad del disco duro	
1 TB
Resolución de la pantalla	
1920 px x 1080 px
GPU	
Graficos AMD Radeon Vega</t>
  </si>
  <si>
    <t>El punto de la empresa</t>
  </si>
  <si>
    <t>https://elpuntodelaimpresora.com/producto/todo-en-uno-hp-205-g4-corporativo-amd-ryzen-5-ram8gb-ssd512gb-23-8-hd-win-10-pro/</t>
  </si>
  <si>
    <t>HP 205 G7</t>
  </si>
  <si>
    <t>Sistema Operativo windows 11 home        Procesador Core I5 1240p                   ram  16gb               almacenamiento  512gb Aio Fhd</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</si>
  <si>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</si>
  <si>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</si>
  <si>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</si>
  <si>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</si>
  <si>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</si>
  <si>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</si>
  <si>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</si>
  <si>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</si>
  <si>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mercadolibre.com.co/monitor-led-de-24-con-panel-ips-y-diseno-sin-bordes-color-black-100v240v/p/MCO17360590?item_id=MCO1914459806&amp;from=gshop&amp;matt_tool=56249061&amp;matt_word=&amp;matt_source=google&amp;matt_campaign_id=14634237764&amp;matt_ad_group_id=153732147068&amp;matt_match_type=&amp;matt_network=g&amp;matt_device=c&amp;matt_creative=644988712033&amp;matt_keyword=&amp;matt_ad_position=&amp;matt_ad_type=pla&amp;matt_merchant_id=735129189&amp;matt_product_id=MCO17360590-product&amp;matt_product_partition_id=2265590047140&amp;matt_target_id=aud-2000227468263:pla-2265590047140&amp;cq_src=google_ads&amp;cq_cmp=14634237764&amp;cq_net=g&amp;cq_plt=gp&amp;cq_med=pla&amp;gad_source=1&amp;gclid=CjwKCAjwvIWzBhAlEiwAHHWgvVzs0MTeY65hnjtpzFBiYdHVgdMioQwOEsQknsZjONhWfjnbKqngvxoCSyQQAvD_BwE</t>
  </si>
  <si>
    <t>MONITOR SAMSUNG 24″ F24T350 IPS DISEÑO SIN BORDES</t>
  </si>
  <si>
    <t>Voltaje: 100V/240V
Tamaño de la pantalla: 24 "
Pantalla led de 24".
Tiene una resolución de 1920px-1080px.
Relación de aspecto de 16:9.
Panel IPS.
Su brillo es de 250cd/m².
Con conexión D-Sub.
Es reclinable.</t>
  </si>
  <si>
    <t>Samsung</t>
  </si>
  <si>
    <t>https://www.samsung.com/co/monitors/flat/t35f-24-inch-ips-fhd-1080p-freesync-lf24t350fhlxzl/</t>
  </si>
  <si>
    <t>Relación de aspecto
16:9
Brillo (Típico)
250 cd/㎡
Radio de contraste estático
1000:1 (típico)
Resolución
FHD (1,920 x 1,080)
Tiempo de respuesta
5 (GTG）
Angulo de visión (H/V)
178°/178°</t>
  </si>
  <si>
    <t>Tamaño de la pantalla (clase): 24 pulgadas
Tipo de pantalla: plana
Tamaño de área activa (H x V) [mm]: 527.04 × 296.46 mm
Relación de aspecto: 16:9
Tipo de panel: IPS
Brillo (típico): 250 cd/㎡
Brillo (mínimo): 200 cd/㎡
Relación de contraste dinámico: Mega
Resolución: 1,920 x 1,080
Tiempo de respuesta: 5 (GTG）
Soporte de colores Máx: 16.7 M
Gama de colores (NTSC 1976): 72%
Frecuencia de actualización Máx: 75 Hz</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</si>
  <si>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</si>
  <si>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</si>
  <si>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</si>
  <si>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</si>
  <si>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</si>
  <si>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</si>
  <si>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</si>
  <si>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</si>
  <si>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Ck compukar</t>
  </si>
  <si>
    <t>https://compukar.com/producto/mouse-gaming-aurora-vsg/</t>
  </si>
  <si>
    <t>AURORA VSG</t>
  </si>
  <si>
    <t>Utiliza cable.
Posee rueda de desplazamiento.
Con luces para mejorar la experiencia de uso.
Con sensor óptico.
Resolución de 12000dpi Windows XP, Windows 10, Windows 8, Windows 7, macOS, Linux</t>
  </si>
  <si>
    <t>Gamers colombia</t>
  </si>
  <si>
    <t>Utiliza cable,compatible  Windows XP, Windows 10, Windows 8, Windows 7, macOS, Linux Acceleration: 30 G
Dpi: 7200
Shape: Simétrica
Speed: 150 IPS
Weight: 72 g</t>
  </si>
  <si>
    <t>Acceleration: 30 G
Dpi: 7200
Shape: Simétrica
Speed: 150 IPS
Weight: 72 g</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</si>
  <si>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</si>
  <si>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</si>
  <si>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</si>
  <si>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</si>
  <si>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</si>
  <si>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</si>
  <si>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</si>
  <si>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</si>
  <si>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 xml:space="preserve">
Mecánico
Versiones
Rojo / Marrón / Azul
Perfil de teclas
OEM
Teclas
88
Distribución del teclado
ISO Latinoamericano
Iluminación
RGB, 16.8 millones de colores
Dimensión
150x370x33mm
Cable
Trenzado 1.8m
Tasa de sondeo
1000Hz
Sistemas operativos compatibles
Win 7/8/10 | Linux | Mac
Switch
Kailh
Tiempo de vida
70 millones de pulsaciones
Peso
942g
Interfaz
USB 2.0
Efectos de iluminación predeterminados
20
Cable con núcleo de ferrita
Si
Material
ABS – Metal
Conector con recubrimiento en oro Si
Método de fijación del interruptor Soldadura</t>
  </si>
  <si>
    <t>Compulago</t>
  </si>
  <si>
    <t>Tipo Mecánico, Formato 80%, Tamaño 360 x 140 x 38 mm, Peso 942 g, Material del case ABS, Material del plate Metal, Software Sí, Macros
Sí, Tasa de sondeo 1000 Hz, N-key rollover Todas las teclas, Switches azul , Iluminación Rgb.</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</si>
  <si>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</si>
  <si>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</si>
  <si>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</si>
  <si>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</si>
  <si>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</si>
  <si>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</si>
  <si>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</si>
  <si>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</si>
  <si>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.com</t>
  </si>
  <si>
    <t>La extensión más reconocida y confiable mundialmente. Atrae a más visitantes y proyecta una imagen profesional para tu sitio web.</t>
  </si>
  <si>
    <t>Como la extensión de dominio más reconocida y confiable, .com le da credibilidad instantáneamente a su sitio web. Los motores de búsqueda también lo saben, y es por eso que un dominio .com puede aumentar su valor SEO, así como la percepción que los visitantes tienen de usted.</t>
  </si>
  <si>
    <t>HOSTINGER</t>
  </si>
  <si>
    <t>https://www.hostinger.co/comprar-dominio?utm_campaign=Generic-Domains|NT:Se|LO:CO&amp;utm_medium=ppc&amp;gad_source=1&amp;gclid=CjwKCAjwmrqzBhAoEiwAXVpgoioZW8kbWzP_yj8a4oCrjVQHsLjTmdR4PkCrNy1hgiIFkQBTyGQ0pBoCVn0QAvD_BwE</t>
  </si>
  <si>
    <t>Inspira confianza con este dominio reconocido.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</si>
  <si>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</si>
  <si>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</si>
  <si>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</si>
  <si>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</si>
  <si>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</si>
  <si>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</si>
  <si>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</si>
  <si>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</si>
  <si>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Microsoft 365 Empresa Premium</t>
  </si>
  <si>
    <t>CONTADO</t>
  </si>
  <si>
    <t>Usa siempre las versiones más recientes de Word, Excel, PowerPoint y más.
Usa Outlook, Exchange y Teams para comunicarte con tus clientes y compañeros de trabajo.
Administra tus archivos desde cualquier lugar con 1 TB de almacenamiento en la nube en OneDrive por usuario.
Protege tu empresa contra ciberamenazas avanzadas con protección sofisticada contra suplantación de identidad (phishing) y ransomware.
Controla el acceso a la información confidencial usando cifrado para ayudar a evitar que los datos se compartan accidentalmente.
Protege los dispositivos que te conectan con tus datos y ayuda a mantener tus dispositivos iOS, Android, Windows y Mac seguros y actualizados.</t>
  </si>
  <si>
    <t>SYSCARIBE</t>
  </si>
  <si>
    <t>https://www.syscaribe.com/producto/microsoft-365-business-premium-suscripcion-1-ano/</t>
  </si>
  <si>
    <t>Administración de identidades, accesos y usuarios para hasta 300 empleados
Correo empresarial personalizado (you@yourbusiness.com)
Versiones web y móviles de Word, Excel, PowerPoint y Outlook
Chat, llamadas y videoconferencias con Microsoft Teams
1 TB de almacenamiento en la nube por empleado
Más de 10 aplicaciones adicionales para tus necesidades empresariales (Microsoft Bookings, Planner, Forms, etc.)
Filtrado automático de correo no deseado y malware
Soporte ininterrumpido por teléfono y a través de la Web
Seminarios web con informes y registro de asistentes
Áreas de trabajo colaborativas para crear de forma conjunta con Microsoft Loop
Herramientas de edición y diseño de vídeo con Microsoft Clipchamp
Administración de identidad y acceso avanzada
Protección mejorada frente a ciberamenazas contra virus y ataques de phishing
Protección de dispositivos y puntos de conexión de grado empresarial
Descubre, clasifica y protege información confidencial
 Copilot para Microsoft 365 está disponible como complemento (Se adquiere por separado)</t>
  </si>
  <si>
    <t>MERAKY EASY</t>
  </si>
  <si>
    <t>https://meraki-easy.com/product/microsoft-365-plan-empresas-premium/</t>
  </si>
  <si>
    <t>Versiones web y móviles solo de las aplicaciones de Microsoft 365
Chatear, llamar o reunirse con un máximo de 300 asistentes
1 TB de almacenamiento en la nube por usuario
Correo electrónico de categoría empresarial
Seguridad estándar
Soporte ininterrumpido por teléfono y a través de la web
Versiones de escritorio de aplicaciones de Microsoft 365 con características premium
Seminarios web hospedados con facilidad
Registro de asistentes y herramientas de informes
Administrar citas de clientes
Seguridad avanzada
Control de datos y acceso
Protección contra ciberamenazas</t>
  </si>
  <si>
    <t>Protección de dispositivos y puntos de conexión de grado empresarial</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</si>
  <si>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</si>
  <si>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</si>
  <si>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</si>
  <si>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</si>
  <si>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</si>
  <si>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</si>
  <si>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</si>
  <si>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</si>
  <si>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TECHNOLOGY STORE</t>
  </si>
  <si>
    <t>https://technologystore2006.com/producto/licencia-microsoft-windows-11-profesional-oem-64-bits-dvd-fqc-10553/</t>
  </si>
  <si>
    <t>Licencia Windows 11 Pro</t>
  </si>
  <si>
    <t>Esta licencia Windows 10 es compatible con la versión Windows 10 Pro, es una licencia totalmente legitima, legal y sirve para activar Windows 10 pro en un computador una sola vez,
en caso de formateo es posible reinstalarla siempre y cuando sea el mismo equipo y no se hayan hecho cambios significativos de hardware. (realizar este proceso bajo su responsabilidad)
Ideal para entornos empresariales y de hogar, aplica para auditorias empresariales.</t>
  </si>
  <si>
    <t>TAURET COMPUTADORES</t>
  </si>
  <si>
    <t>https://tauretcomputadores.com/product/licencia-windows-11-profesional</t>
  </si>
  <si>
    <t>Un sistema operativo diseñado para empresas. Para usuarios corporativos y particulares, ofrece características y capacidades de vanguardia. Windows 10 Pro brinda a los clientes la flexibilidad para manejar sus responsabilidades profesionales de manera efectiva y mejorar la productividad. Hoy en día es la versión estrella entre los sistemas operativos, sin duda la versión más popular.</t>
  </si>
  <si>
    <t>JANUS</t>
  </si>
  <si>
    <t>https://www.janus.com.co/products/licencia-windows-11-64bit-pro-en-espanol</t>
  </si>
  <si>
    <t>Windows 10 Professional combina el Windows que ya conoces y añade grandes mejoras que te encantarán. Tecnologías como InstantGo1 le permiten arrancar y reanudar rápidamente.
Windows 10 tiene más características de seguridad integradas que nunca para ayudar a proteger tu sistema contra software malintencionado.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</si>
  <si>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</si>
  <si>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</si>
  <si>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</si>
  <si>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</si>
  <si>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</si>
  <si>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</si>
  <si>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</si>
  <si>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</si>
  <si>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REVOLUTION SOFT COLOMBIA</t>
  </si>
  <si>
    <t>https://revolutionsoft.com.co/windows-server-2022/licencia-windows-server-2022-standard.html?id_product_attribute=0</t>
  </si>
  <si>
    <t>Windows Server 2022 Standard</t>
  </si>
  <si>
    <t>Características de Windows Server 2022 Standard
Como líder en el mercado de servidores, Windows Server 2022 Standard se distingue por su conjunto integral de características, diseñadas para satisfacer las demandas de los entornos empresariales más exigentes:
Seguridad Mejorada y Protección Avanzada: La seguridad es una prioridad fundamental en cualquier entorno empresarial, y Windows Server 2022 Standard no decepciona en este aspecto. Con características de seguridad avanzadas como protección contra amenazas integrada, control de acceso basado en roles y capacidades de detección y respuesta mejoradas, este sistema operativo garantiza la protección de los datos sensibles y la integridad de la red.
Escalabilidad sin Precedentes: La capacidad de escalar de manera efectiva es esencial para cualquier empresa en crecimiento. Con Windows Server 2022 Standard, la escalabilidad es más accesible que nunca. Desde la gestión de cargas de trabajo virtualizadas hasta la implementación de infraestructuras definidas por software, este sistema operativo proporciona las herramientas necesarias para expandir y adaptar la infraestructura de TI según las necesidades cambiantes de la empresa.
Rendimiento Optimizado y Fiabilidad Inigualable: El rendimiento y la fiabilidad son pilares fundamentales en la infraestructura de TI de cualquier empresa. Con Windows Server 2022 Standard, puedes estar seguro de que tus sistemas operativos están optimizados para ofrecer un rendimiento excepcional y una fiabilidad inigualable. Desde la gestión de recursos hasta la tolerancia a fallos, este sistema operativo está diseñado para garantizar que tus operaciones informáticas funcionen sin problemas, sin importar las circunstancias.
Gestión Simplificada con Windows Admin Center: Una de las características más destacadas de Windows Server 2022 Standard es su integración con Windows Admin Center. Esta herramienta centralizada ofrece una interfaz intuitiva y basada en web para gestionar y monitorear tus servidores de manera eficiente. Desde la administración de usuarios hasta la configuración de políticas de grupo, Windows Admin Center simplifica tareas complejas y permite a los administradores de sistemas trabajar de manera más productiva.
Virtualización Avanzada con Hyper-V: Windows Server 2022 Standard incluye la última versión de Hyper-V, la plataforma de virtualización de Microsoft. Con Hyper-V, puedes crear y administrar máquinas virtuales con facilidad, lo que te permite consolidar cargas de trabajo, optimizar recursos y mejorar la flexibilidad de tu infraestructura de TI. Además, las características de aislamiento y seguridad integradas en Hyper-V garantizan la protección de las cargas de trabajo virtualizadas contra amenazas externas.
Almacenamiento Eficiente con Storage Spaces Direct: Para empresas que buscan una solución de almacenamiento altamente disponible y escalable, Windows Server 2022 Standard ofrece Storage Spaces Direct (S2D). Esta característica permite crear pools de almacenamiento utilizando discos locales en servidores físicos, lo que proporciona una solución de almacenamiento compartido de alto rendimiento sin la necesidad de hardware de almacenamiento dedicado. Con S2D, puedes mejorar la disponibilidad de tus datos y reducir los costos asociados con el almacenamiento empresarial.
Servicios de Escritorio Remoto Mejorados: Con el aumento del trabajo remoto, los servicios de escritorio remoto (RDS) se han vuelto esenciales para muchas empresas. Windows Server 2022 Standard ofrece una serie de mejoras en los servicios de escritorio remoto, incluida la compatibilidad con experiencias de escritorio virtual más ricas y la integración con Azure Virtual Desktop. Ya sea que necesites proporcionar acceso remoto a aplicaciones o escritorios completos, Windows Server 2022 Standard te ofrece las herramientas necesarias para ofrecer una experiencia de usuario excepcional desde cualquier lugar y en cualquier dispositivo.</t>
  </si>
  <si>
    <t>UNIQ</t>
  </si>
  <si>
    <t>https://uniq.software/es/windows/servers/windows-server-2022/windows-server-2022-standard</t>
  </si>
  <si>
    <t>Características principales
Windows Server 2022 Standard cuenta con varias características clave que lo convierten en un sistema operativo de servidor potente y confiable. Algunas de estas características incluyen:
Mejora de la seguridad con protección avanzada de varias capas
Mejora del rendimiento y la escalabilidad para cargas de trabajo modernas
Gestión eficiente de entornos de nube híbrida
Soporte para contenerización y arquitectura de microservicios
Servicios integrados de Azure para una integración en la nube sin problemas
Capacidades avanzadas de almacenamiento con Storage Migration Service y Storage Replica</t>
  </si>
  <si>
    <t>LA TIENDA DE LAS LICENCIAS</t>
  </si>
  <si>
    <t>https://latiendadelaslicencias.com/es/windows-server-2022/licencia-windows-server-2022-standard.html?id_product_attribute=0</t>
  </si>
  <si>
    <t>Licencia Microsoft Windows Server 2022 Standar Multi-idioma.
Licencia para servidores de hasta 24 núcleos.
Una vez realizado el pago, recibe en tu email la clave de activación y las instrucciones de instalación. 
✔️ Licencia FPP: licencia válida para cambiarla de equipo cada vez que quieras. (solo en un equipo a la vez), puedes reinstalarla tantas veces como necesites.
✔️ Licencia válida para empresas (válida para pasar auditoría y para reventa).
✔️ Garantía de por vida.
✔️Licencia de por vida, compra AHORA y úsala para SIEMPRE.
✔️ Enviamos factura de compra con IVA desglosado, incluye clave de activación.
✔️ Servicio atención al cliente gratuito: el mejor soporte para nuestros clientes. También contarás con el soporte oficial de Microsoft.</t>
  </si>
  <si>
    <t>Licencia Microsoft SQL Server 2022 Standard Edition - 24 cores - Usuarios Ilimitados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</si>
  <si>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</si>
  <si>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</si>
  <si>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</si>
  <si>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</si>
  <si>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</si>
  <si>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</si>
  <si>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</si>
  <si>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</si>
  <si>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ZENTINELS</t>
  </si>
  <si>
    <t>https://tienda.zentinels.net/producto/licencia-visual-studio-2022-retail-pro-enterprise/</t>
  </si>
  <si>
    <t>VISUAL STUDIO  PRO/ENTERPRISE</t>
  </si>
  <si>
    <t>Licencia de Visual Studio 2022 en ediciones Professional y Enterprise con modalidad Retail válida para 1PC. Es compatible con Windows 10 y 11 además de Windows Server 2022, 2019 y 2016.
Junto a la compra se entrega clave de producto, factura, descarga oficial e instrucciones de instalación detalladas.
Detalles de Licencia Visual Studio 2022:
Múltiples idiomas (Español incluido)
Versión Retail reinstalable
Válida para 1 Equipo
Duración permanente
Actualizaciones incluidas
Permite desarrollar aplicaciones de 32 y 64 bits
Opción de desarrollar para IOS y Android
Compatible con C++, C#, F#, Visual Basic, JavaScript, HTML y CSS
Desarrollo en .NET, Python y Node.JS</t>
  </si>
  <si>
    <t>Cree aplicaciones más inteligentes rápidamente para equipos de cualquier tamaño en PC y Mac con herramientas y servicios de desarrollador profesionales. Incluye acceso al software básico de Microsoft, créditos de Azure y descuentos, servicios de colaboración, aprendizaje técnico, soporte técnico profesional y mucho más.</t>
  </si>
  <si>
    <t>ALL GOOD KEYS</t>
  </si>
  <si>
    <t>https://allgoodkeys.com/es/producto/visual-studio-2022-enterprise/?utm_source=Google%20Shopping&amp;utm_campaign=Spanish%20Feed&amp;utm_medium=cpc&amp;utm_term=24440&amp;gad_source=1&amp;gclid=CjwKCAjwmrqzBhAoEiwAXVpgoqrOh7_CN-Nw_7Vt_TWzXuAEq4QIMGbfnc3-me_TzmuwptoTjVQSsRoCyP4QAvD_BwE</t>
  </si>
  <si>
    <t>Licencia Microsoft Visual Studio 2022 en edición Enterprise con modalidad Retail y válida para 1PC.  Compatible con Windows 10 y 11 así como Server 2022, 2019 y 2016 en sus ediciones Standard y Datacenter.
Características de Licencia Visual Studio 2022:
Múltiples idiomas (Español incluido)
Versión Retail reinstalable
Válida para 1 Equipo
Duración permanente
Actualizaciones incluidas
Permite desarrollar aplicaciones de 32 y 64 bits
Opción de desarrollar para IOS y Android
Compatible con C++, C#, F#, Visual Basic, JavaScript, HTML y CSS
Desarrollo en .NET, Python y Node.JS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</si>
  <si>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</si>
  <si>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</si>
  <si>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</si>
  <si>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</si>
  <si>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</si>
  <si>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</si>
  <si>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</si>
  <si>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</si>
  <si>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TINTABLES</t>
  </si>
  <si>
    <t>https://tintables.com/licencias-windows-server/41783-licencia-microsoft-sql-server-2022-standard-edition-24-cores-usuarios-ilimitados.html</t>
  </si>
  <si>
    <t>Para todas las características conectadas a Azure de SQL Server 2022, los clientes pueden habilitar estas funcionalidades de forma opcional en función de los requisitos empresariales.
**Base de datos de vulnerabilidades completas del National Institute of Standards and Technology
***La funcionalidad de recuperación ante desastres bidireccional de la característica de vínculo para Azure SQL Managed Instance está disponible en versión preliminar pública limitada. Regístrese para obtener acceso anticipado. La disponibilidad general tendrá lugar en una fecha futura.</t>
  </si>
  <si>
    <t>MICROSOFT</t>
  </si>
  <si>
    <t>https://www.microsoft.com/es-es/d/sql-server-standard-2022/dg7gmgf0m80j?activetab=pivot:informaci%C3%B3ngeneraltab</t>
  </si>
  <si>
    <t>https://revolutionsoft.com.co/microsoft-sql-server/sql-server-2022-standard.html?id_product_attribute=0&amp;_gl=1*lymcuw*_up*MQ..*_ga*MTA3MzE4MDA4OC4xNzE4NTgzMzk2*_ga_C64VX5E0B0*MTcxODU4MzM5NS4xLjAuMTcxODU4MzM5NS4wLjAuMA..</t>
  </si>
  <si>
    <t>Características Destacadas del SQL Server 2022 Standard:
Alta Disponibilidad: SQL Server 2022 Standard ofrece capacidades de alta disponibilidad mejoradas, incluyendo la replicación de datos, la agrupación de servidores y la recuperación ante desastres, para garantizar que tus datos estén siempre disponibles cuando los necesites.
Rendimiento Optimizado: Con mejoras en el rendimiento del motor de base de datos y la optimización de consultas, SQL Server 2022 Standard ofrece tiempos de respuesta más rápidos y una mayor capacidad de procesamiento para manejar cargas de trabajo exigentes.
Seguridad Avanzada: La seguridad de los datos es una prioridad, y SQL Server 2022 Standard incluye características avanzadas de seguridad, como el cifrado de datos en reposo y en tránsito, la autenticación de múltiples factores y la detección de amenazas para proteger tus datos contra accesos no autorizados y ataques cibernéticos.
Integración con la Nube: SQL Server 2022 Standard ofrece una integración perfecta con servicios en la nube, como Azure SQL Database y Azure Data Lake Storage, para facilitar la migración de datos a la nube y aprovechar las ventajas de escalabilidad y flexibilidad que ofrece el entorno cloud.
Herramientas de Administración Avanzadas: Con SQL Server Management Studio (SSMS) y SQL Server Data Tools (SSDT), puedes administrar y desarrollar tus bases de datos de manera eficiente, con herramientas intuitivas y potentes para la creación, edición y optimización de bases de datos.</t>
  </si>
  <si>
    <t>https://lasus.com.co/es/servidor-hpe-ml110-gen10-3204-1p-16g-4lff-4tb</t>
  </si>
  <si>
    <t>Servidor HPE ML110 Gen10 3204 1P 16G 4LFF 4TB</t>
  </si>
  <si>
    <t>HPE Proliant DL380 G10 24SFF 2x Xeon Gold 6242 256 GB de RAM</t>
  </si>
  <si>
    <t>https://www.ebay.com/itm/389285999878?_trkparms=amclksrc%3DITM%26aid%3D1110006%26algo%3DHOMESPLICE.SIM%26ao%3D1%26asc%3D295742%26meid%3Df279dc2bce3b479ba9ed948bd89eb5b4%26pid%3D101224%26rk%3D1%26rkt%3D5%26sd%3D386614055784%26itm%3D389285999878%26pmt%3D1%26noa%3D1%26pg%3D2332490%26algv%3DDefaultOrganicWebV9BertRefreshRankerWithCassiniEmbRecall%26brand%3DHPE&amp;_trksid=p2332490.c101224.m-1</t>
  </si>
  <si>
    <t>https://tiendatek.com.co/product/hpe-ml30-gen11-e-2414-1p-16g-nhp-1tb-svr/?srsltid=AfmBOopL8Xf4F3MxhtDOGCwkM3JExoMU2OW70iKvVbTmgqWtped0CYnKKrw</t>
  </si>
  <si>
    <t>HPE ML30 Gen11 E-2414 1P 16G NHP 1TB Svr</t>
  </si>
  <si>
    <t>TEK</t>
  </si>
  <si>
    <t>LASUS</t>
  </si>
  <si>
    <t>Servidor HPE ProLiant ML30 G11 – 1 x Intel Xeon 2.60GHz – 16GB RAM – 1TB HDD – Serie ATA Controlador – 4U Torre – Intel C262 Chip – 1 Soporte del Procesador – 128GB Soporte de RAM – DDR5 SDRAM – Hasta 16MB Tarjeta gráfica – Gigabit Ethernet – 4 x LFF Bay(s) – 1 x 350W</t>
  </si>
  <si>
    <t>El servidor HPE ML110 Gen10 3204 es una solución eficiente y potente para sus necesidades de almacenamiento y procesamiento de datos. Con un procesador Intel Xeon 3204, 16GB de memoria RAM, 4 bahías de disco duro de alta capacidad y un almacenamiento total de 4TB, este servidor ofrece un rendimiento confiable y escalable. Equipado con tecnología de vanguardia, el HPE ML110 Gen10 es ideal para empresas que buscan mejorar su infraestructura informática.</t>
  </si>
  <si>
    <t>El servidor HPE ProLiant DL380 G10 es una solución potente y versátil de nivel empresarial, ideal para una amplia gama de aplicaciones empresariales, como virtualización, gestión de bases de datos, computación en la nube y análisis de datos. Ofrece rendimiento, escalabilidad y fiabilidad para satisfacer las exigentes necesidades de las empresas modernas. El DL380 Gen10 permite amplias configuraciones de memoria y ofrece una gran capacidad de almacenamiento compatible con múltiples discos duros SAS/SATA hot-plug o unidades de estado sólido (SSD). Reduzca costes y complejidad con un servidor altamente personalizable y simplifique la administración con un sistema de control remoto integrado y redes avanzadas.</t>
  </si>
  <si>
    <t>https://www.falabella.com.co/falabella-co/product/128037422/Todo-en-Uno-HP-24-cr0007la-AMD-Ryzen-5-7520U-RAM-8GB-SSD-512GB-23,8-Pulgadas/128037423</t>
  </si>
  <si>
    <t>Todo en Uno HP 24-cr0007la AMD Ryzen 5 7520U RAM 8GB SSD 512GB 23,8" Pulgadas</t>
  </si>
  <si>
    <t>Contado y Acredito</t>
  </si>
  <si>
    <t>Una de las mejores Desktop HP All-in-One fabricada con materiales reciclados para seguirle el ritmo a usted y a todos los miembros de su familia gracias a su diseño sustentable que ofrece un consumo eficiente de energía. AMD Ryzen™ 5 7520U (velocidad máxima de hasta 4,3 GHz, 4 MB de caché L3, 4 núcleos y 8 subprocesos) 8 GB de RAM LPDDR5-5500 MHz (incorporada) Unidad de estado sólido de 512 GB PCIe® NVMe™ M.2 Pantalla táctil FHD de 60,5 cm (23,8") en diagonal</t>
  </si>
  <si>
    <t>TODO EN UNO HP: 24-cr0007la
Se diseñó para reducir el impacto sobre el medioambiente
El primer equipo en el mundo fabricado con granos de café reciclados 3, además de plásticos reciclados posconsumo y de origen oceánico y reciclados
Se diseñó para que mantenga la conexión con todo su personal
Se diseñó para ofrecer verdadera colaboración con cámara de privacidad emergente e inclinable 5, micrófonos dobles y reducción de ruido de avanzada.
Prepárese para enfrentar cada día, todos los días
Enfrente cualquier día con un procesador AMD confiable 6, amplio espacio de almacenamiento, conexiones rápidas y gran cantidad de memoria.
Obtén una nueva perspectiva
Desde un menú de inicio renovado hasta nuevas formas de conectarte con tus contactos favoritos, noticias, juegos y contenido preferente: Windows 11 es el lugar para pensar, expresar y crear de forma natural.
Gráficos AMD Radeon™
Ya sea que se trate de juegos o películas, disfruta del alto desempeño en todo el entretenimiento.
Pantalla FHD IPS
Disfruta de imágenes totalmente claras desde cualquier ángulo. Con amplios ángulos de visión de 178° y una resolución brillante de 1920 x 1080, siempre verás de manera excelente tu contenido favorito.
Panel antirreflejo
Disfruta del sol y de tu contenido favorito con este panel antirreflejo. Con esta pantalla no reflejante y de bajo brillo, recibe menos reflejo en exteriores.
Características:
AMD Ryzen™ 5 7520U (velocidad máxima de hasta 4,3 GHz, 4 MB de caché L3, 4 núcleos y 8 subprocesos)
Memoria: 8 GB de RAM LPDDR5-5500 MHz (incorporada).
Almacenamiento Unidad de estado sólido PCIe®️ NVMe™️ M.2 de 512 GB.
Integradas: Gráficos AMD Radeon.
Pantalla de 23,8” “FHD (1920 x 1080) IPS, (60,5 cm), antirreflejante, 250 nits y 99% sRGB.
Altavoces dobles de 2 W.
Puertos 1 USB Tipo-C®️ con velocidad de señalización de 5 Gb/s
2 USB Tipo-A con velocidad de señalización de 5 Gb/s
2 USB 2.0 Tipo-A; 1 combinación de auriculares y micrófono
1 RJ-4.
Cámara de privacidad FHD HP True Vision inclinable de 1080p.
Teclado y mouse inalámbricos HP 510SP en negro / Color Black
Sistema operativo Freedos.
Un año de garantía con el fabricante</t>
  </si>
  <si>
    <t>ThinkCentre Neo 50a 23.8" AIO 5ta Gen - Luna Grey</t>
  </si>
  <si>
    <t>LENOVO</t>
  </si>
  <si>
    <t>https://www.lenovo.com/co/es/p/computadoras-de-escritorio/thinkcentre/thinkcentre-serie-neo/thinkcentre-neo-50a-gen-5-aio-(24-inch-intel)/12sd002cls</t>
  </si>
  <si>
    <t>* Aproximación. El tipo impositivo podrá variar en zonas con impuestos diferentes al IVA.
◊ La oferta es válida para las compras válidas de productos Apple que cumplan los requisitos y se realicen entre el 28 de noviembre y el 1 de Diciembre de 2025 en un Establecimiento Válido. Oferta sujeta a disponibilidad. Hasta fin de existencias. En las compras válidas, se aplicará un descuento equivalente al importe de la Apple Gift Card sobre el precio del Producto Válido. En el momento del pago se deberán abonar todos los productos, incluyendo la Apple Gift Card válida. No pueden acogerse a esta promoción los Productos Válidos que se compren con financiación en el Apple Online Store, en la app Apple Store o 900 150 503. Esta oferta no puede combinarse con los precios del Programa de Compras para Empleados de Apple ni a los precios para el sector educativo o de fidelidad para empresas. Algunos métodos de pago no se aceptan en esta oferta. Consulta los detalles al pagar. Pueden aplicarse otras restricciones. Consulta todos los términos y condiciones aquí(Se abre en una ventana nueva).
Las advertencias e información de seguridad sobre este producto están disponibles en la guía de introducción del MacBook Pro: https://support.apple.com/es-es/guide/macbook-pro/welcome/mac(se abre en una ventana nueva)
Fabricante: Apple Inc., One Apple Park Way, Cupertino, CA 95014, EE. UU.
Representante en la UE: Apple Distribution International Limited, Hollyhill Industrial Estate, Hollyhill, Cork, Irlanda
apple.com(se abre en una ventana nueva)
Si quieres saber más sobre los gastos que cubre Apple por el reciclaje y la gestión de las baterías desechadas, visita regulatoryinfo.apple.com/regulation1542(se abre en una ventana nueva)
** Los descuentos dependen del estado, año y configuración del dispositivo válido que entregues. No todos los dispositivos pueden acogerse a esta oferta. Para poder cambiar tu dispositivo por un descuento o una Apple Gift Card, tienes que ser mayor de edad. El valor de renovación se puede aplicar a la compra de un dispositivo válido nuevo o añadirse a una Apple Gift Card. El valor real atribuido está sujeto a la recepción de un dispositivo válido que coincida con la descripción proporcionada durante la estimación. Pueden aplicarse impuestos locales al importe completo de la compra de un dispositivo nuevo. La entrega en tienda requiere la presentación de un documento de identidad válido (la legislación vigente puede exigir que se guarde esta información). Es posible que la oferta no esté disponible en todas las tiendas, y puede ser diferente si la renovación se hace en una tienda u online. Algunas tiendas pueden exigir más requisitos. Apple y sus socios se reservan el derecho a rechazar, cancelar o limitar la cantidad de cualquier transacción de renovación por cualquier motivo. Para obtener más información sobre los dispositivos válidos y su reciclaje, consulta a nuestro socio. Puede haber restricciones y limitaciones.
APPLE DISTRIBUTION INTERNATIONAL LTD. es productor de pilas y acumuladores con n.º RII-PYA 919, adherido a ECOPILAS; productor de AEE con n.º RAEE 4047, adherido a ECOASIMELEC; y productor de envases con n.º ENV/2023/000003984, adherido a ECOEMBES.
1. 1 GB = 1.000 millones de bytes. 1 TB = 1 billón de bytes. La capacidad formateada real es inferior.
2. Las pantallas del MacBook Pro de 14 y 16 pulgadas tienen las esquinas redondeadas en la parte superior. Si se mide el rectángulo estándar, las pantallas tienen 14,2 y 16,2 pulgadas en diagonal. La superficie real de visión es inferior.
 Nota a pie de página **** Sistema de amortización francés. Oferta sujeta a la previa autorización de Banco Cetelem S.A.U. tras el estudio de la documentación aportada y la firma del contrato. Validez de la oferta hasta el 31/12/2025. Consulta los términos y condiciones para financiar otros productos aquí. Importe mínimo de financiación de 299 €
Ejemplo de financiación MacBook Pro 14”: precio de compra de 1.829 € en 36 meses. 35 cuotas de 63,36 € y una última cuota de 63,32 €. Precio de adquisición al contado de 1.829 €. Importe total adeudado de 2.280,92 €. Precio total a plazos de 2.280,92 €. Total Intereses de 451,92 €. Coste total del crédito de 451,92 €. 14,95 % TIN y 16,02 % TAE.
Ejemplo de financiación MacBook Pro 16”: precio de compra de 2.849 € en 36 meses. 35 cuotas de 98,69 € y una última cuota de 98,78 €. Precio de adquisición al contado de 2.849 €. Importe total adeudado de 3.552,93 €. Precio total a plazos de 3.552,93 €. Total Intereses de 703,93 €. Coste total del crédito de 703,93 €. 14,95 % TIN y 16,02 % TAE.
Financiación también disponible en 12 y 24 meses a 14,95 % de TIN y 16,02 % de TAE.
Financiación a 12 meses. TIN: 14,95 %. TAE 16,02 %.
Importe mínimo de financiación 299 €. Ejemplo de financiación para un importe de 1.219 € en 12 meses. 11 cuotas de 110,00 € y una última cuota de 109,95 €. Total intereses: 100,95 €. Coste total del crédito: 100,95 €. Importe total adeudado y precio total a plazos: 1.319,95 €. Precio de adquisición al contado: 1.219 €. Sistema de amortización francés. Válida hasta el 31/12/2025.
Financiación a 24 meses. TIN: 14,95 %. TAE 16,02 %.
Importe mínimo de financiación 299 €. Ejemplo de financiación para un importe de 1219 € en 24 meses. 23 cuotas de 59,08 € y una última cuota de 58,98 €. Total intereses: 198,82 €. Coste total del crédito: 198,82 €. Importe total adeudado y precio total a plazos: 1.417,82 €. Precio de adquisición al contado: 1219 €. Sistema de amortización francés. Válida hasta el 31/12/2025.
Consulta los términos y condiciones. Las compras en el Apple Store para Empresas están excluidas de la oferta. Consulta las condiciones en el Apple Store.
∆ Apple Intelligence está disponible en versión beta. Algunas prestaciones no están disponibles en todas las regiones o idiomas. Consulta la disponibilidad de prestaciones e idiomas y los requisitos del sistema en support.apple.com/es-es/121115(Se abre en una ventana nueva).
Usamos tu ubicación para mostrarte las opciones de entrega más rápida. Encontramos tu ubicación usando tu dirección IP o porque la indicaste durante una visita anterior a Apple.</t>
  </si>
  <si>
    <t>Aviso legal
• La duración de la batería depende del uso que se le dé al producto</t>
  </si>
  <si>
    <t>https://www.mercadolibre.com.co/todo-en-uno-aio-24-cb1028la-core-i5-1235u-8gb-512gb-fhd-24-color-negro/p/MCO44711212#polycard_client=search-nordic&amp;search_layout=stack&amp;position=1&amp;type=product&amp;tracking_id=f4cd8835-4bb9-47a5-a732-88731b268404&amp;wid=MCO2867135456&amp;sid=search</t>
  </si>
  <si>
    <t>Capacidad de disco SSD: 512 GB.
Capacidad total del módulo de memoria RAM: 8 GB.
Voltaje: 110V.
GPU: Intel® Iris® X.
8 GB de RAM DDR4 para un rendimiento fluido en multitareas.
Almacenamiento de 512 GB PCIe NVMe para un acceso rápido a datos.
Procesador Intel Core i5 con 10 núcleos y velocidad hasta 4.4 GHz.
Pantalla FHD de 23.8” con resolución 1920x1080 para imágenes nítidas.
Cámara web FHD 1080p para videollamadas de alta calidad.
Conectividad Wi-Fi 6 y Bluetooth para transferencias rápidas.</t>
  </si>
  <si>
    <t>https://www.hp.com/co-es/shop/computadora-de-escritorio-hp-proone-240-g10-9p4k1la.html</t>
  </si>
  <si>
    <t>Todo en Uno HP Pro One 240 G10, 23.8", Windows 11 Pro, Intel® Core™ i5, 8GB RAM, 512GB Unidad de estado sólido, FHD</t>
  </si>
  <si>
    <t>https://www.falabella.com.co/falabella-co/product/147707423/MONITOR-SAMSUNG-24-PULGADAS-FHD-IPS-100-HZ-LS24D300GANXZA/147707424</t>
  </si>
  <si>
    <t>MONITOR SAMSUNG 24 PULGADAS FHD IPS 100 HZ LS24D300GANXZA</t>
  </si>
  <si>
    <t>Mouse HP Alámbrico Óptico 100 Negro</t>
  </si>
  <si>
    <t>https://www.alkosto.com/mouse-hp-alambrico-optico-100-negro/p/193905461370</t>
  </si>
  <si>
    <t>ÉXITO</t>
  </si>
  <si>
    <t>https://www.exito.com/mouse-usb-optico-gamer-509-101314141-mp/p</t>
  </si>
  <si>
    <t>Mouse Usb Optico Gamer 509 Mymobile</t>
  </si>
  <si>
    <t>Teclado HP Inalámbrico Bluetoooth 350</t>
  </si>
  <si>
    <t>K-TRONIX</t>
  </si>
  <si>
    <t>https://www.ktronix.com/teclado-hp-inalambrico-bluetoooth-350/p/196548515868</t>
  </si>
  <si>
    <t>https://gamerscolombia.com/products/teclado-logitech-g513-carbon-mecanico-rgb?variant=42172391129170</t>
  </si>
  <si>
    <t>https://www.proveel.com.co/combo-teclado-y-mouse-genius-km-170-usb-negro-windows-1011-sensor-optico-1000-dpi/p/MCO21766205?pdp_filters=seller_id%3A212604010#polycard_client=search-nordic-mshops&amp;search_layout=grid&amp;position=2&amp;type=product&amp;tracking_id=a2358c10-2b52-4380-bc39-8140a0e46155&amp;wid=MCO1364140013&amp;sid=search</t>
  </si>
  <si>
    <t>Combo Teclado y Mouse Genius KM-170 USB Negro Windows 10/11 Sensor Óptico 1000 dpi</t>
  </si>
  <si>
    <t>Teclado Logitech G513 Carbon – Mecánico RGB</t>
  </si>
  <si>
    <t>https://www.hostinger.com/co/comprar-dominio?utm_campaign=Generic-Domains|NT:Se|LO:CO&amp;utm_medium=ppc&amp;gad_source=1&amp;gad_campaignid=10835301752&amp;gbraid=0AAAAADMy-hYplBc8uWve4WpQxMDZGK0WF&amp;gclid=Cj0KCQiAubrJBhCbARIsAHIdxD_mKMJildEbHPvdrOPYpppgazqFARVIQ2UqCsDTvju07UZIOhHqdPgaArj9EALw_wcB</t>
  </si>
  <si>
    <t>CYBER OFERTA</t>
  </si>
  <si>
    <t>COLOMBIA LATINOAMERICA</t>
  </si>
  <si>
    <t>https://clientes.latinoamericahosting.com.co/cart.php?a=add&amp;domain=register</t>
  </si>
  <si>
    <t>.online</t>
  </si>
  <si>
    <t>https://www.godaddy.com/es/offers/email/professional-email?isc=coemlgon1&amp;marketid=es-CO&amp;currencyType=COP&amp;cdtl=c_17814084449.g_159845483920.k_kwd-297598318743.a_738793420782.d_c.ctv_g&amp;bnb=nb&amp;gad_source=1&amp;gad_campaignid=17814084449&amp;gbraid=0AAAAAD_AGdwv09D4XDeBvAoGCfFB3RkGw&amp;gclid=Cj0KCQiAubrJBhCbARIsAHIdxD__6oLJUMlq3XKQukhts6SRU7cptQyeUS-H7Vl0e7hONoR-P6m4qjcaAjWDEALw_wcB</t>
  </si>
  <si>
    <t>GODADDY</t>
  </si>
  <si>
    <t>https://www.alkosto.com/computador-all-in-one-hp-pavilion-238-pulgadas-cr0017la/p/197961033045</t>
  </si>
  <si>
    <t>https://www.microsoft.com/es-co/d/visual-studio-professional-2022/DG7GMGF0D3SJ/0002?OCID=AIDcmm6mu07qw1_seo_omc_goo&amp;source=googleshopping</t>
  </si>
  <si>
    <t>Se integra con Azure Synapse Link y Microsoft Purview para impulsar conocimientos más profundos, predicciones y control de sus datos a gran escala.
Base de datos más segura en los últimos 10 años por NIST**
Totalmente integrado con la nueva característica de vínculo en Azure SQL Managed Instance***
Características nuevas y mejoradas, incluidas las sugerencias de libro de contabilidad y Almacén de consultas
Características de procesamiento inteligente de consultas de última generación en el motor de base de datos para acelerar el rendimiento sin cambios en el código.
Compatibilidad con bases de datos de serie temporal
Nuevas funciones JSON para aumentar la capacidad de consultar y manipular datos JSON
*Para todas las características conectadas a Azure de SQL Server 2022, los clientes pueden habilitar estas funcionalidades de forma opcional en función de los requisitos empresariales.
**Base de datos de vulnerabilidades completas del National Institute of Standards and Technology</t>
  </si>
  <si>
    <t>Portátil HP EliteBook 6 G1a, 14", Next Gen AI, Windows 11 Pro, AMD Ryzen™ AI 7, 32GB RAM, 512GB SSD</t>
  </si>
  <si>
    <t>http://hp.com/co-es/shop/laptop-hp-elitebook-6-g1a-de-14-pulgadas-next-gen-ai-c34kslt.html</t>
  </si>
  <si>
    <t>Características del Sistema
Sistema operativo
Windows 11 Pro
Procesador
AMD Ryzen ™ AI 7 350 (hasta 5.0 GHz MAX BOOST Reloj, 16 MB L3 Cache, 8 núcleos, 16 hilos)
Familia de procesador
Procesador AMD Ryzen ™ AI 7
Memoria
Memoria, estándar
RAM DDR5-5600 MT/s de 32 GB (1 x 32 GB)
Ranuras de memoria
2 SODIMM
Almacenamiento
Descripción del disco duro
SSD PCIe® NVMe™ de 512 GB
Pantalla y gráficos
Monitor
Pantalla WUXGA, IPS, antirreflectante, de 14" (40,6 cm) en diagonal, 300 nits y 62.5 % de sRGB (1920 x 1200)
Gráficos
Gráficos AMD Radeon ™ 860m
Dispositivos de medios
Funciones de audio
Audio by Poly Studio, altavoces estéreo duales, micrófonos de matriz dual
Cámara
Cámara FHD de 1080p
Sensores
HP Sure Platform; Sensor térmico; HP Tamper Lock; Sensor de efecto Hall
Dispositivos de entrada
Dispositivo apuntador
Clickpad que admite gestos multitáctiles
Teclado
Teclado retroiluminado resistente a salpicaduras
Comunicaciones
Inalámbrico
Tarjeta inalámbrica MediaTek Wi-Fi 6E RZ616 (2x2) y Bluetooth® 5.3
Requisitos de Fuente de alimentación y operacionales
Alimentación
Adaptador USB Type-C® de 65 W
Tipo de batería
Batería de polímero de iones de litio de larga duración HP de 3celdas y 56Wh
Eficiencia de energía
Certificación TCO
Dimensiones y peso
Dimensiones mínimas (anch. x prof. x alt.)
31,86 x 22,43 x 1,09 cm (frente); 31,86 x 22,43 x 1,7 cm (posterior)
Peso
A partir de 1,4 kg
Diseño
Color de producto
Aluminio plateado de color verdoso
Gestión de Seguridad
País de origen
China(AKH, ABM, AC8); Thailand(AKH, ABM, AC8)
Garantía y Servicios
Garantía
Opciones de garantía limitada de software de 1 año y 90 días según el país. Las baterías tienen una garantía limitada predeterminada de un año. Consulte http://www.hp.com/support/batterywarranty/ para obtener información adicional sobre la batería.</t>
  </si>
  <si>
    <t>Portatil ASUS Vivobook Go 15 AMD Ryzen 5 7520U RAM 8 GB 512 GB SSD E1504FANJ475W</t>
  </si>
  <si>
    <t>https://www.exito.com/computador-asus-vivobook-go-15-amd-ryzen-5-4-nucleos-8-gb-ram-512-gb-ssd-3128850/p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</si>
</sst>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 #,##0.00_-;\-&quot;$&quot;\ * #,##0.00_-;_-&quot;$&quot;\ * &quot;-&quot;??_-;_-@_-"/>
    <numFmt numFmtId="164" formatCode="#,##0.00\ [$€-1]"/>
    <numFmt numFmtId="165" formatCode="&quot;$&quot;\ #,##0.00"/>
    <numFmt numFmtId="166" formatCode="_-[$$-540A]* #,##0.00_ ;_-[$$-540A]* \-#,##0.00\ ;_-[$$-540A]* &quot;-&quot;??_ ;_-@_ "/>
    <numFmt numFmtId="167" formatCode="_-&quot;$&quot;\ * #,##0.00_-;\-&quot;$&quot;\ * #,##0.00_-;_-&quot;$&quot;\ * &quot;-&quot;??_-;_-@"/>
    <numFmt numFmtId="168" formatCode="_-[$$-240A]\ * #,##0.00_-;\-[$$-240A]\ * #,##0.00_-;_-[$$-240A]\ * &quot;-&quot;??_-;_-@"/>
    <numFmt numFmtId="169" formatCode="_-[$€-2]\ * #,##0.00_-;\-[$€-2]\ * #,##0.00_-;_-[$€-2]\ * &quot;-&quot;??_-;_-@"/>
    <numFmt numFmtId="170" formatCode="_-&quot;$&quot;* #,##0.00_-;\-&quot;$&quot;* #,##0.00_-;_-&quot;$&quot;* &quot;-&quot;??_-;_-@"/>
    <numFmt numFmtId="171" formatCode="_-* #,##0.00\ [$€-C0A]_-;\-* #,##0.00\ [$€-C0A]_-;_-* &quot;-&quot;??\ [$€-C0A]_-;_-@_-"/>
    <numFmt numFmtId="172" formatCode="_-&quot;$&quot;* #,##0_-;\-&quot;$&quot;* #,##0_-;_-&quot;$&quot;* &quot;-&quot;??_-;_-@"/>
    <numFmt numFmtId="173" formatCode="_-&quot;$&quot;\ * #,##0_-;\-&quot;$&quot;\ * #,##0_-;_-&quot;$&quot;\ * &quot;-&quot;??_-;_-@_-"/>
    <numFmt numFmtId="174" formatCode="_-[$$-240A]\ * #,##0_-;\-[$$-240A]\ * #,##0_-;_-[$$-240A]\ * &quot;-&quot;??_-;_-@"/>
    <numFmt numFmtId="175" formatCode="_-[$$-540A]* #,##0_ ;_-[$$-540A]* \-#,##0\ ;_-[$$-540A]* &quot;-&quot;??_ ;_-@_ "/>
    <numFmt numFmtId="176" formatCode="_-[$$-540A]* #,##0.000_ ;_-[$$-540A]* \-#,##0.000\ ;_-[$$-540A]* &quot;-&quot;??_ ;_-@_ "/>
    <numFmt numFmtId="177" formatCode="_-&quot;$&quot;* #,##0.000_-;\-&quot;$&quot;* #,##0.000_-;_-&quot;$&quot;* &quot;-&quot;??_-;_-@"/>
    <numFmt numFmtId="178" formatCode="_-&quot;$&quot;\ * #,##0.000_-;\-&quot;$&quot;\ * #,##0.000_-;_-&quot;$&quot;\ * &quot;-&quot;??_-;_-@"/>
    <numFmt numFmtId="179" formatCode="_-&quot;$&quot;\ * #,##0.000_-;\-&quot;$&quot;\ * #,##0.000_-;_-&quot;$&quot;\ * &quot;-&quot;???_-;_-@_-"/>
    <numFmt numFmtId="180" formatCode="_-&quot;$&quot;\ * #,##0.000_-;\-&quot;$&quot;\ * #,##0.000_-;_-&quot;$&quot;\ * &quot;-&quot;??_-;_-@_-"/>
    <numFmt numFmtId="181" formatCode="_-&quot;$&quot;\ * #,##0.0000_-;\-&quot;$&quot;\ * #,##0.0000_-;_-&quot;$&quot;\ * &quot;-&quot;??_-;_-@"/>
  </numFmts>
  <fonts count="30">
    <font>
      <sz val="10"/>
      <color rgb="FF000000"/>
      <name val="Arial"/>
      <scheme val="minor"/>
    </font>
    <font>
      <sz val="10"/>
      <color theme="1"/>
      <name val="Arial"/>
    </font>
    <font>
      <b/>
      <sz val="12"/>
      <color theme="1"/>
      <name val="Arial"/>
    </font>
    <font>
      <sz val="10"/>
      <name val="Arial"/>
    </font>
    <font>
      <b/>
      <sz val="10"/>
      <color theme="1"/>
      <name val="Arial"/>
    </font>
    <font>
      <b/>
      <sz val="10"/>
      <color theme="1"/>
      <name val="Trebuchet MS"/>
    </font>
    <font>
      <b/>
      <u/>
      <sz val="10"/>
      <color theme="1"/>
      <name val="Trebuchet MS"/>
    </font>
    <font>
      <i/>
      <sz val="10"/>
      <color theme="1"/>
      <name val="Arial"/>
    </font>
    <font>
      <sz val="10"/>
      <color rgb="FF333333"/>
      <name val="Arial"/>
    </font>
    <font>
      <sz val="10"/>
      <color rgb="FF000000"/>
      <name val="Arial"/>
    </font>
    <font>
      <sz val="10"/>
      <color rgb="FF0F1111"/>
      <name val="Arial"/>
    </font>
    <font>
      <sz val="10"/>
      <color theme="1"/>
      <name val="Trebuchet MS"/>
    </font>
    <font>
      <sz val="10"/>
      <color rgb="FF000000"/>
      <name val="Lato"/>
    </font>
    <font>
      <sz val="10"/>
      <color theme="1"/>
      <name val="Arial"/>
      <scheme val="minor"/>
    </font>
    <font>
      <b/>
      <u/>
      <sz val="10"/>
      <color theme="1"/>
      <name val="Trebuchet MS"/>
    </font>
    <font>
      <u/>
      <sz val="10"/>
      <color theme="10"/>
      <name val="Arial"/>
    </font>
    <font>
      <sz val="9"/>
      <color theme="1"/>
      <name val="Trebuchet MS"/>
    </font>
    <font>
      <b/>
      <sz val="14"/>
      <color rgb="FF000000"/>
      <name val="Sora"/>
    </font>
    <font>
      <b/>
      <sz val="15"/>
      <color rgb="FF000000"/>
      <name val="Sora"/>
    </font>
    <font>
      <i/>
      <sz val="8"/>
      <color theme="1"/>
      <name val="Trebuchet MS"/>
    </font>
    <font>
      <i/>
      <sz val="10"/>
      <color theme="1"/>
      <name val="Trebuchet MS"/>
    </font>
    <font>
      <i/>
      <u/>
      <sz val="8"/>
      <color theme="1"/>
      <name val="Trebuchet MS"/>
    </font>
    <font>
      <i/>
      <sz val="8"/>
      <color theme="1"/>
      <name val="Arial"/>
    </font>
    <font>
      <u/>
      <sz val="10"/>
      <color theme="10"/>
      <name val="Arial"/>
      <scheme val="minor"/>
    </font>
    <font>
      <sz val="10"/>
      <color rgb="FF000000"/>
      <name val="Arial"/>
      <scheme val="minor"/>
    </font>
    <font>
      <sz val="10"/>
      <color theme="1"/>
      <name val="Arial"/>
      <family val="2"/>
    </font>
    <font>
      <b/>
      <sz val="10"/>
      <color theme="1"/>
      <name val="Trebuchet MS"/>
      <family val="2"/>
    </font>
    <font>
      <sz val="8"/>
      <name val="Arial"/>
      <family val="2"/>
      <scheme val="minor"/>
    </font>
    <font>
      <b/>
      <sz val="10"/>
      <color theme="1"/>
      <name val="Arial"/>
      <family val="2"/>
    </font>
    <font>
      <b/>
      <sz val="10"/>
      <color rgb="FFFF0000"/>
      <name val="Trebuchet MS"/>
      <family val="2"/>
    </font>
  </fonts>
  <fills count="8">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theme="0"/>
        <bgColor theme="0"/>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s>
  <cellStyleXfs count="3">
    <xf numFmtId="0" fontId="0" fillId="0" borderId="0"/>
    <xf numFmtId="0" fontId="23" fillId="0" borderId="0" applyNumberFormat="0" applyFill="0" applyBorder="0" applyAlignment="0" applyProtection="0"/>
    <xf numFmtId="44" fontId="24" fillId="0" borderId="0" applyFont="0" applyFill="0" applyBorder="0" applyAlignment="0" applyProtection="0"/>
  </cellStyleXfs>
  <cellXfs count="133">
    <xf numFmtId="0" fontId="0" fillId="0" borderId="0" xfId="0"/>
    <xf numFmtId="164" fontId="1" fillId="0" borderId="0" xfId="0" applyNumberFormat="1" applyFont="1"/>
    <xf numFmtId="0" fontId="4"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165" fontId="5" fillId="0" borderId="5" xfId="0" applyNumberFormat="1" applyFont="1" applyBorder="1" applyAlignment="1">
      <alignment horizontal="center" vertical="center" wrapText="1"/>
    </xf>
    <xf numFmtId="0" fontId="6" fillId="4"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7" fillId="0" borderId="0" xfId="0" applyFont="1" applyAlignment="1">
      <alignment horizontal="center" vertical="center"/>
    </xf>
    <xf numFmtId="0" fontId="4" fillId="3" borderId="4" xfId="0" applyFont="1" applyFill="1" applyBorder="1" applyAlignment="1">
      <alignment horizontal="center" vertical="center"/>
    </xf>
    <xf numFmtId="0" fontId="4" fillId="0" borderId="4" xfId="0" applyFont="1" applyBorder="1" applyAlignment="1">
      <alignment horizontal="center" vertical="center"/>
    </xf>
    <xf numFmtId="0" fontId="8" fillId="6" borderId="4" xfId="0" applyFont="1" applyFill="1" applyBorder="1" applyAlignment="1">
      <alignment horizontal="left" vertical="center"/>
    </xf>
    <xf numFmtId="166" fontId="9" fillId="6" borderId="8" xfId="0" applyNumberFormat="1" applyFont="1" applyFill="1" applyBorder="1" applyAlignment="1">
      <alignment horizontal="left" vertical="center"/>
    </xf>
    <xf numFmtId="167" fontId="9" fillId="6" borderId="4" xfId="0" applyNumberFormat="1" applyFont="1" applyFill="1" applyBorder="1" applyAlignment="1">
      <alignment horizontal="left" vertical="center"/>
    </xf>
    <xf numFmtId="0" fontId="1" fillId="0" borderId="4" xfId="0" applyFont="1" applyBorder="1" applyAlignment="1">
      <alignment horizontal="center" vertical="center"/>
    </xf>
    <xf numFmtId="0" fontId="1" fillId="0" borderId="4" xfId="0" applyFont="1" applyBorder="1" applyAlignment="1">
      <alignment vertical="center" wrapText="1"/>
    </xf>
    <xf numFmtId="0" fontId="9" fillId="0" borderId="0" xfId="0" applyFont="1"/>
    <xf numFmtId="0" fontId="9" fillId="0" borderId="4" xfId="0" applyFont="1" applyBorder="1" applyAlignment="1">
      <alignment vertical="center"/>
    </xf>
    <xf numFmtId="0" fontId="10" fillId="6" borderId="4" xfId="0" applyFont="1" applyFill="1" applyBorder="1" applyAlignment="1">
      <alignment vertical="center"/>
    </xf>
    <xf numFmtId="168" fontId="1" fillId="0" borderId="3" xfId="0" applyNumberFormat="1" applyFont="1" applyBorder="1" applyAlignment="1">
      <alignment vertical="center"/>
    </xf>
    <xf numFmtId="168" fontId="1" fillId="0" borderId="4" xfId="0" applyNumberFormat="1" applyFont="1" applyBorder="1" applyAlignment="1">
      <alignment vertical="center"/>
    </xf>
    <xf numFmtId="0" fontId="1" fillId="0" borderId="5" xfId="0" applyFont="1" applyBorder="1" applyAlignment="1">
      <alignment vertical="center" wrapText="1"/>
    </xf>
    <xf numFmtId="0" fontId="4" fillId="0" borderId="4" xfId="0" applyFont="1" applyBorder="1" applyAlignment="1">
      <alignment horizontal="center" vertical="center" wrapText="1"/>
    </xf>
    <xf numFmtId="0" fontId="1" fillId="0" borderId="4" xfId="0" applyFont="1" applyBorder="1" applyAlignment="1">
      <alignment vertical="center"/>
    </xf>
    <xf numFmtId="169" fontId="1" fillId="0" borderId="4" xfId="0" applyNumberFormat="1" applyFont="1" applyBorder="1" applyAlignment="1">
      <alignment vertical="center"/>
    </xf>
    <xf numFmtId="167" fontId="1" fillId="0" borderId="4" xfId="0" applyNumberFormat="1" applyFont="1" applyBorder="1" applyAlignment="1">
      <alignment vertical="center"/>
    </xf>
    <xf numFmtId="0" fontId="1" fillId="0" borderId="1" xfId="0" applyFont="1" applyBorder="1" applyAlignment="1">
      <alignment horizontal="center" vertical="center"/>
    </xf>
    <xf numFmtId="0" fontId="9" fillId="6" borderId="4" xfId="0" applyFont="1" applyFill="1" applyBorder="1" applyAlignment="1">
      <alignment wrapText="1"/>
    </xf>
    <xf numFmtId="0" fontId="4" fillId="7" borderId="9" xfId="0" applyFont="1" applyFill="1" applyBorder="1" applyAlignment="1">
      <alignment horizontal="center" vertical="center"/>
    </xf>
    <xf numFmtId="0" fontId="5" fillId="7" borderId="9" xfId="0" applyFont="1" applyFill="1" applyBorder="1" applyAlignment="1">
      <alignment horizontal="center" vertical="top" wrapText="1"/>
    </xf>
    <xf numFmtId="0" fontId="11" fillId="7" borderId="9" xfId="0" applyFont="1" applyFill="1" applyBorder="1" applyAlignment="1">
      <alignment horizontal="left" vertical="top" wrapText="1"/>
    </xf>
    <xf numFmtId="167" fontId="11" fillId="7" borderId="9" xfId="0" applyNumberFormat="1" applyFont="1" applyFill="1" applyBorder="1" applyAlignment="1">
      <alignment horizontal="center" vertical="top" wrapText="1"/>
    </xf>
    <xf numFmtId="168" fontId="11" fillId="7" borderId="9" xfId="0" applyNumberFormat="1" applyFont="1" applyFill="1" applyBorder="1" applyAlignment="1">
      <alignment horizontal="center" vertical="top" wrapText="1"/>
    </xf>
    <xf numFmtId="2" fontId="11" fillId="7" borderId="9" xfId="0" applyNumberFormat="1" applyFont="1" applyFill="1" applyBorder="1" applyAlignment="1">
      <alignment horizontal="center" vertical="top" wrapText="1"/>
    </xf>
    <xf numFmtId="0" fontId="11" fillId="7" borderId="9" xfId="0" applyFont="1" applyFill="1" applyBorder="1" applyAlignment="1">
      <alignment horizontal="center" vertical="top" wrapText="1"/>
    </xf>
    <xf numFmtId="0" fontId="5" fillId="7" borderId="9" xfId="0" applyFont="1" applyFill="1" applyBorder="1" applyAlignment="1">
      <alignment horizontal="left" vertical="top" wrapText="1"/>
    </xf>
    <xf numFmtId="0" fontId="1" fillId="7" borderId="9" xfId="0" applyFont="1" applyFill="1" applyBorder="1" applyAlignment="1">
      <alignment vertical="center" wrapText="1"/>
    </xf>
    <xf numFmtId="168" fontId="1" fillId="7" borderId="9" xfId="0" applyNumberFormat="1" applyFont="1" applyFill="1" applyBorder="1" applyAlignment="1">
      <alignment horizontal="center" vertical="center" wrapText="1"/>
    </xf>
    <xf numFmtId="168" fontId="1" fillId="7" borderId="9" xfId="0" applyNumberFormat="1" applyFont="1" applyFill="1" applyBorder="1" applyAlignment="1">
      <alignment horizontal="center" vertical="center"/>
    </xf>
    <xf numFmtId="0" fontId="1" fillId="7" borderId="9" xfId="0" applyFont="1" applyFill="1" applyBorder="1" applyAlignment="1">
      <alignment horizontal="center" vertical="center"/>
    </xf>
    <xf numFmtId="0" fontId="1" fillId="7" borderId="9" xfId="0" applyFont="1" applyFill="1" applyBorder="1" applyAlignment="1">
      <alignment horizontal="center" vertical="center" wrapText="1"/>
    </xf>
    <xf numFmtId="0" fontId="1" fillId="7" borderId="9" xfId="0" applyFont="1" applyFill="1" applyBorder="1" applyAlignment="1">
      <alignment vertical="center"/>
    </xf>
    <xf numFmtId="168" fontId="1" fillId="7" borderId="9" xfId="0" applyNumberFormat="1" applyFont="1" applyFill="1" applyBorder="1" applyAlignment="1">
      <alignment vertical="center"/>
    </xf>
    <xf numFmtId="0" fontId="9" fillId="7" borderId="9" xfId="0" applyFont="1" applyFill="1" applyBorder="1" applyAlignment="1">
      <alignment horizontal="center" vertical="center" wrapText="1"/>
    </xf>
    <xf numFmtId="168" fontId="12" fillId="7" borderId="9" xfId="0" applyNumberFormat="1" applyFont="1" applyFill="1" applyBorder="1" applyAlignment="1">
      <alignment horizontal="center" vertical="center"/>
    </xf>
    <xf numFmtId="167" fontId="1" fillId="7" borderId="9" xfId="0" applyNumberFormat="1" applyFont="1" applyFill="1" applyBorder="1" applyAlignment="1">
      <alignment horizontal="center" vertical="center"/>
    </xf>
    <xf numFmtId="0" fontId="12" fillId="7" borderId="9" xfId="0" applyFont="1" applyFill="1" applyBorder="1" applyAlignment="1">
      <alignment horizontal="center" vertical="center" wrapText="1"/>
    </xf>
    <xf numFmtId="0" fontId="10" fillId="7" borderId="9" xfId="0" applyFont="1" applyFill="1" applyBorder="1" applyAlignment="1">
      <alignment vertical="center" wrapText="1"/>
    </xf>
    <xf numFmtId="3" fontId="1" fillId="7" borderId="9" xfId="0" applyNumberFormat="1" applyFont="1" applyFill="1" applyBorder="1" applyAlignment="1">
      <alignment horizontal="center" vertical="center"/>
    </xf>
    <xf numFmtId="167" fontId="1" fillId="7" borderId="9" xfId="0" applyNumberFormat="1" applyFont="1" applyFill="1" applyBorder="1" applyAlignment="1">
      <alignment horizontal="center" vertical="center" wrapText="1"/>
    </xf>
    <xf numFmtId="0" fontId="9" fillId="7" borderId="9" xfId="0" applyFont="1" applyFill="1" applyBorder="1" applyAlignment="1">
      <alignment horizontal="left" vertical="center" wrapText="1"/>
    </xf>
    <xf numFmtId="0" fontId="1" fillId="7" borderId="9" xfId="0" applyFont="1" applyFill="1" applyBorder="1"/>
    <xf numFmtId="0" fontId="1" fillId="7" borderId="9" xfId="0" applyFont="1" applyFill="1" applyBorder="1" applyAlignment="1">
      <alignment horizontal="center" wrapText="1"/>
    </xf>
    <xf numFmtId="0" fontId="8" fillId="6" borderId="4" xfId="0" applyFont="1" applyFill="1" applyBorder="1" applyAlignment="1">
      <alignment horizontal="center" vertical="center"/>
    </xf>
    <xf numFmtId="167" fontId="1" fillId="0" borderId="3" xfId="0" applyNumberFormat="1" applyFont="1" applyBorder="1" applyAlignment="1">
      <alignment vertical="center"/>
    </xf>
    <xf numFmtId="0" fontId="14" fillId="4" borderId="4"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5" fillId="0" borderId="4" xfId="0" applyFont="1" applyBorder="1" applyAlignment="1">
      <alignment horizontal="center" vertical="center" wrapText="1"/>
    </xf>
    <xf numFmtId="0" fontId="5" fillId="0" borderId="1" xfId="0" applyFont="1" applyBorder="1" applyAlignment="1">
      <alignment horizontal="center" vertical="center" wrapText="1"/>
    </xf>
    <xf numFmtId="170" fontId="9" fillId="6" borderId="4" xfId="0" applyNumberFormat="1" applyFont="1" applyFill="1" applyBorder="1" applyAlignment="1">
      <alignment horizontal="center" vertical="center"/>
    </xf>
    <xf numFmtId="167" fontId="1" fillId="0" borderId="3" xfId="0" applyNumberFormat="1" applyFont="1" applyBorder="1" applyAlignment="1">
      <alignment horizontal="center" vertical="center"/>
    </xf>
    <xf numFmtId="167" fontId="1" fillId="0" borderId="4" xfId="0" applyNumberFormat="1" applyFont="1" applyBorder="1" applyAlignment="1">
      <alignment horizontal="center" vertical="center"/>
    </xf>
    <xf numFmtId="0" fontId="11" fillId="0" borderId="4" xfId="0" applyFont="1" applyBorder="1" applyAlignment="1">
      <alignment horizontal="center" vertical="center" wrapText="1"/>
    </xf>
    <xf numFmtId="0" fontId="11" fillId="0" borderId="4" xfId="0" applyFont="1" applyBorder="1" applyAlignment="1">
      <alignment horizontal="left" vertical="top" wrapText="1"/>
    </xf>
    <xf numFmtId="0" fontId="9" fillId="0" borderId="4" xfId="0" applyFont="1" applyBorder="1" applyAlignment="1">
      <alignment horizontal="left" wrapText="1"/>
    </xf>
    <xf numFmtId="0" fontId="17" fillId="0" borderId="0" xfId="0" applyFont="1" applyAlignment="1">
      <alignment horizontal="left" wrapText="1"/>
    </xf>
    <xf numFmtId="0" fontId="18" fillId="0" borderId="0" xfId="0" applyFont="1" applyAlignment="1">
      <alignment horizontal="left" wrapText="1"/>
    </xf>
    <xf numFmtId="165" fontId="5" fillId="0" borderId="4" xfId="0" applyNumberFormat="1" applyFont="1" applyBorder="1" applyAlignment="1">
      <alignment horizontal="center" vertical="center" wrapText="1"/>
    </xf>
    <xf numFmtId="0" fontId="10" fillId="6" borderId="4" xfId="0" applyFont="1" applyFill="1" applyBorder="1" applyAlignment="1">
      <alignment horizontal="center" vertical="center" wrapText="1"/>
    </xf>
    <xf numFmtId="170" fontId="1" fillId="0" borderId="4" xfId="0" applyNumberFormat="1" applyFont="1" applyBorder="1" applyAlignment="1">
      <alignment horizontal="center" vertical="center"/>
    </xf>
    <xf numFmtId="0" fontId="11" fillId="0" borderId="1" xfId="0" applyFont="1" applyBorder="1" applyAlignment="1">
      <alignment horizontal="center" vertical="center" wrapText="1"/>
    </xf>
    <xf numFmtId="0" fontId="1" fillId="0" borderId="4" xfId="0" applyFont="1" applyBorder="1" applyAlignment="1">
      <alignment horizontal="center" vertical="center" wrapText="1"/>
    </xf>
    <xf numFmtId="168" fontId="1" fillId="0" borderId="4" xfId="0" applyNumberFormat="1" applyFont="1" applyBorder="1" applyAlignment="1">
      <alignment horizontal="center" vertical="center" wrapText="1"/>
    </xf>
    <xf numFmtId="0" fontId="1" fillId="0" borderId="4" xfId="0" applyFont="1" applyBorder="1" applyAlignment="1">
      <alignment horizontal="left" vertical="top" wrapText="1"/>
    </xf>
    <xf numFmtId="168" fontId="11" fillId="0" borderId="4" xfId="0" applyNumberFormat="1" applyFont="1" applyBorder="1" applyAlignment="1">
      <alignment horizontal="center" vertical="center" wrapText="1"/>
    </xf>
    <xf numFmtId="0" fontId="1" fillId="0" borderId="1" xfId="0" applyFont="1" applyBorder="1" applyAlignment="1">
      <alignment horizontal="center" vertical="center" wrapText="1"/>
    </xf>
    <xf numFmtId="166" fontId="1" fillId="0" borderId="4" xfId="0" applyNumberFormat="1" applyFont="1" applyBorder="1" applyAlignment="1">
      <alignment horizontal="center" vertical="center"/>
    </xf>
    <xf numFmtId="0" fontId="11" fillId="0" borderId="4" xfId="0" applyFont="1" applyBorder="1" applyAlignment="1">
      <alignment vertical="center" wrapText="1"/>
    </xf>
    <xf numFmtId="170" fontId="11" fillId="0" borderId="4" xfId="0" applyNumberFormat="1" applyFont="1" applyBorder="1" applyAlignment="1">
      <alignment horizontal="center" vertical="center" wrapText="1"/>
    </xf>
    <xf numFmtId="167" fontId="11" fillId="0" borderId="4" xfId="0" applyNumberFormat="1" applyFont="1" applyBorder="1" applyAlignment="1">
      <alignment horizontal="center" vertical="center" wrapText="1"/>
    </xf>
    <xf numFmtId="0" fontId="23" fillId="0" borderId="1" xfId="1" applyBorder="1" applyAlignment="1">
      <alignment vertical="center" wrapText="1"/>
    </xf>
    <xf numFmtId="44" fontId="1" fillId="0" borderId="3" xfId="2" applyFont="1" applyBorder="1" applyAlignment="1">
      <alignment vertical="center"/>
    </xf>
    <xf numFmtId="44" fontId="1" fillId="0" borderId="4" xfId="2" applyFont="1" applyBorder="1" applyAlignment="1">
      <alignment vertical="center"/>
    </xf>
    <xf numFmtId="44" fontId="9" fillId="6" borderId="4" xfId="2" applyFont="1" applyFill="1" applyBorder="1" applyAlignment="1">
      <alignment horizontal="center" vertical="center"/>
    </xf>
    <xf numFmtId="171" fontId="16" fillId="0" borderId="4" xfId="0" applyNumberFormat="1" applyFont="1" applyBorder="1" applyAlignment="1">
      <alignment horizontal="center" vertical="center" wrapText="1"/>
    </xf>
    <xf numFmtId="44" fontId="0" fillId="0" borderId="0" xfId="0" applyNumberFormat="1"/>
    <xf numFmtId="171" fontId="1" fillId="0" borderId="4" xfId="0" applyNumberFormat="1" applyFont="1" applyBorder="1" applyAlignment="1">
      <alignment horizontal="center" vertical="center"/>
    </xf>
    <xf numFmtId="171" fontId="9" fillId="6" borderId="4" xfId="0" applyNumberFormat="1" applyFont="1" applyFill="1" applyBorder="1" applyAlignment="1">
      <alignment horizontal="left" vertical="center"/>
    </xf>
    <xf numFmtId="171" fontId="1" fillId="0" borderId="3" xfId="0" applyNumberFormat="1" applyFont="1" applyBorder="1" applyAlignment="1">
      <alignment horizontal="center" vertical="center" wrapText="1"/>
    </xf>
    <xf numFmtId="0" fontId="23" fillId="0" borderId="4" xfId="1" applyBorder="1" applyAlignment="1">
      <alignment horizontal="center" vertical="center" wrapText="1"/>
    </xf>
    <xf numFmtId="171" fontId="1" fillId="0" borderId="4" xfId="0" applyNumberFormat="1" applyFont="1" applyBorder="1" applyAlignment="1">
      <alignment horizontal="center" vertical="center" wrapText="1"/>
    </xf>
    <xf numFmtId="171" fontId="1" fillId="0" borderId="4" xfId="0" applyNumberFormat="1" applyFont="1" applyBorder="1" applyAlignment="1">
      <alignment vertical="center"/>
    </xf>
    <xf numFmtId="171" fontId="16" fillId="0" borderId="4" xfId="2" applyNumberFormat="1" applyFont="1" applyBorder="1" applyAlignment="1">
      <alignment horizontal="center" vertical="center" wrapText="1"/>
    </xf>
    <xf numFmtId="172" fontId="9" fillId="6" borderId="4" xfId="0" applyNumberFormat="1" applyFont="1" applyFill="1" applyBorder="1" applyAlignment="1">
      <alignment horizontal="center" vertical="center"/>
    </xf>
    <xf numFmtId="173" fontId="9" fillId="6" borderId="4" xfId="2" applyNumberFormat="1" applyFont="1" applyFill="1" applyBorder="1" applyAlignment="1">
      <alignment horizontal="center" vertical="center"/>
    </xf>
    <xf numFmtId="0" fontId="26" fillId="0" borderId="1" xfId="0" applyFont="1" applyBorder="1" applyAlignment="1">
      <alignment horizontal="center" vertical="center" wrapText="1"/>
    </xf>
    <xf numFmtId="0" fontId="25" fillId="0" borderId="4" xfId="0" applyFont="1" applyBorder="1" applyAlignment="1">
      <alignment horizontal="center" vertical="center" wrapText="1"/>
    </xf>
    <xf numFmtId="172" fontId="1" fillId="0" borderId="4" xfId="0" applyNumberFormat="1" applyFont="1" applyBorder="1" applyAlignment="1">
      <alignment horizontal="center" vertical="center" wrapText="1"/>
    </xf>
    <xf numFmtId="0" fontId="28" fillId="0" borderId="4" xfId="0" applyFont="1" applyBorder="1" applyAlignment="1">
      <alignment horizontal="center" vertical="center" wrapText="1"/>
    </xf>
    <xf numFmtId="172" fontId="1" fillId="0" borderId="4" xfId="0" applyNumberFormat="1" applyFont="1" applyBorder="1" applyAlignment="1">
      <alignment horizontal="center" vertical="center"/>
    </xf>
    <xf numFmtId="0" fontId="28" fillId="0" borderId="4" xfId="0" applyFont="1" applyBorder="1" applyAlignment="1">
      <alignment horizontal="center" vertical="center"/>
    </xf>
    <xf numFmtId="174" fontId="1" fillId="0" borderId="4" xfId="0" applyNumberFormat="1" applyFont="1" applyBorder="1" applyAlignment="1">
      <alignment vertical="center"/>
    </xf>
    <xf numFmtId="175" fontId="11" fillId="0" borderId="4" xfId="0" applyNumberFormat="1" applyFont="1" applyBorder="1" applyAlignment="1">
      <alignment horizontal="center" vertical="center" wrapText="1"/>
    </xf>
    <xf numFmtId="0" fontId="26" fillId="0" borderId="4" xfId="0" applyFont="1" applyBorder="1" applyAlignment="1">
      <alignment horizontal="center" vertical="center" wrapText="1"/>
    </xf>
    <xf numFmtId="176" fontId="1" fillId="0" borderId="4" xfId="0" applyNumberFormat="1" applyFont="1" applyBorder="1" applyAlignment="1">
      <alignment horizontal="center" vertical="center"/>
    </xf>
    <xf numFmtId="44" fontId="1" fillId="0" borderId="4" xfId="2" applyFont="1" applyBorder="1" applyAlignment="1">
      <alignment horizontal="center" vertical="center"/>
    </xf>
    <xf numFmtId="177" fontId="11" fillId="0" borderId="4" xfId="0" applyNumberFormat="1" applyFont="1" applyBorder="1" applyAlignment="1">
      <alignment horizontal="center" vertical="center" wrapText="1"/>
    </xf>
    <xf numFmtId="174" fontId="1" fillId="0" borderId="3" xfId="0" applyNumberFormat="1" applyFont="1" applyBorder="1" applyAlignment="1">
      <alignment vertical="center"/>
    </xf>
    <xf numFmtId="0" fontId="29" fillId="0" borderId="4" xfId="0" applyFont="1" applyBorder="1" applyAlignment="1">
      <alignment horizontal="center" vertical="center" wrapText="1"/>
    </xf>
    <xf numFmtId="0" fontId="0" fillId="0" borderId="0" xfId="0"/>
    <xf numFmtId="178" fontId="11" fillId="0" borderId="4" xfId="0" applyNumberFormat="1" applyFont="1" applyBorder="1" applyAlignment="1">
      <alignment horizontal="center" vertical="center" wrapText="1"/>
    </xf>
    <xf numFmtId="180" fontId="11" fillId="0" borderId="4" xfId="2" applyNumberFormat="1" applyFont="1" applyBorder="1" applyAlignment="1">
      <alignment horizontal="center" vertical="center" wrapText="1"/>
    </xf>
    <xf numFmtId="179" fontId="1" fillId="0" borderId="4" xfId="0" applyNumberFormat="1" applyFont="1" applyBorder="1" applyAlignment="1">
      <alignment horizontal="center" vertical="center"/>
    </xf>
    <xf numFmtId="44" fontId="1" fillId="0" borderId="4" xfId="0" applyNumberFormat="1" applyFont="1" applyBorder="1" applyAlignment="1">
      <alignment horizontal="center" vertical="center"/>
    </xf>
    <xf numFmtId="44" fontId="11" fillId="0" borderId="4" xfId="2" applyFont="1" applyBorder="1" applyAlignment="1">
      <alignment horizontal="center" vertical="center" wrapText="1"/>
    </xf>
    <xf numFmtId="180" fontId="1" fillId="0" borderId="4" xfId="2" applyNumberFormat="1" applyFont="1" applyBorder="1" applyAlignment="1">
      <alignment horizontal="center" vertical="center"/>
    </xf>
    <xf numFmtId="181" fontId="1" fillId="0" borderId="4" xfId="0" applyNumberFormat="1" applyFont="1" applyBorder="1" applyAlignment="1">
      <alignment horizontal="center" vertical="center"/>
    </xf>
    <xf numFmtId="178" fontId="1" fillId="0" borderId="4" xfId="0" applyNumberFormat="1" applyFont="1" applyBorder="1" applyAlignment="1">
      <alignment vertical="center"/>
    </xf>
    <xf numFmtId="0" fontId="2" fillId="0" borderId="0" xfId="0" applyFont="1" applyAlignment="1">
      <alignment horizontal="center" vertical="center"/>
    </xf>
    <xf numFmtId="0" fontId="0" fillId="0" borderId="0" xfId="0"/>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13" fillId="0" borderId="10" xfId="0" applyFont="1" applyBorder="1"/>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13" fillId="0" borderId="1" xfId="0" applyFont="1" applyBorder="1"/>
    <xf numFmtId="0" fontId="2" fillId="0" borderId="1" xfId="0" applyFont="1" applyBorder="1" applyAlignment="1">
      <alignment horizontal="center" vertical="center"/>
    </xf>
    <xf numFmtId="171" fontId="11" fillId="0" borderId="4" xfId="0" applyNumberFormat="1" applyFont="1" applyBorder="1" applyAlignment="1">
      <alignment horizontal="center" vertical="center" wrapText="1"/>
    </xf>
  </cellXfs>
  <cellStyles count="3">
    <cellStyle name="Hipervínculo" xfId="1" builtinId="8"/>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iendatek.com.co/product/hpe-ml30-gen11-e-2414-1p-16g-nhp-1tb-svr/?srsltid=AfmBOopL8Xf4F3MxhtDOGCwkM3JExoMU2OW70iKvVbTmgqWtped0CYnKKrw" TargetMode="External"/><Relationship Id="rId2" Type="http://schemas.openxmlformats.org/officeDocument/2006/relationships/hyperlink" Target="https://www.ebay.com/itm/389285999878?_trkparms=amclksrc%3DITM%26aid%3D1110006%26algo%3DHOMESPLICE.SIM%26ao%3D1%26asc%3D295742%26meid%3Df279dc2bce3b479ba9ed948bd89eb5b4%26pid%3D101224%26rk%3D1%26rkt%3D5%26sd%3D386614055784%26itm%3D389285999878%26pmt%3D1%26noa%3D1%26pg%3D2332490%26algv%3DDefaultOrganicWebV9BertRefreshRankerWithCassiniEmbRecall%26brand%3DHPE&amp;_trksid=p2332490.c101224.m-1" TargetMode="External"/><Relationship Id="rId1" Type="http://schemas.openxmlformats.org/officeDocument/2006/relationships/hyperlink" Target="https://lasus.com.co/es/servidor-hpe-ml110-gen10-3204-1p-16g-4lff-4tb"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alkosto.com/computador-all-in-one-hp-pavilion-238-pulgadas-cr0017la/p/197961033045" TargetMode="External"/><Relationship Id="rId2" Type="http://schemas.openxmlformats.org/officeDocument/2006/relationships/hyperlink" Target="https://www.falabella.com.co/falabella-co/product/128037422/Todo-en-Uno-HP-24-cr0007la-AMD-Ryzen-5-7520U-RAM-8GB-SSD-512GB-23,8-Pulgadas/128037423" TargetMode="External"/><Relationship Id="rId1" Type="http://schemas.openxmlformats.org/officeDocument/2006/relationships/hyperlink" Target="https://www.lenovo.com/co/es/p/computadoras-de-escritorio/thinkcentre/thinkcentre-serie-neo/thinkcentre-neo-50a-gen-5-aio-(24-inch-intel)/12sd002cl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mercadolibre.com.co/macbook-pro-macbook-pro-16-m3-pro-space-black-16-apple-m3-m3-pro-18gb-de-ram-512gb-ssd-apple-gpu-120-hz-3456x2234px-macos/p/MCO28766788?pdp_filters=category:MCO1652" TargetMode="External"/><Relationship Id="rId2" Type="http://schemas.openxmlformats.org/officeDocument/2006/relationships/hyperlink" Target="https://www.exito.com/computador-asus-vivobook-go-15-amd-ryzen-5-4-nucleos-8-gb-ram-512-gb-ssd-3128850/p" TargetMode="External"/><Relationship Id="rId1" Type="http://schemas.openxmlformats.org/officeDocument/2006/relationships/hyperlink" Target="http://hp.com/co-es/shop/laptop-hp-elitebook-6-g1a-de-14-pulgadas-next-gen-ai-c34kslt.htm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elpuntodelaimpresora.com/producto/todo-en-uno-hp-205-g4-corporativo-amd-ryzen-5-ram8gb-ssd512gb-23-8-hd-win-10-pro/" TargetMode="External"/><Relationship Id="rId2" Type="http://schemas.openxmlformats.org/officeDocument/2006/relationships/hyperlink" Target="https://www.hp.com/co-es/shop/computadora-de-escritorio-hp-proone-240-g10-9p4k1la.html" TargetMode="External"/><Relationship Id="rId1" Type="http://schemas.openxmlformats.org/officeDocument/2006/relationships/hyperlink" Target="https://www.mercadolibre.com.co/todo-en-uno-aio-24-cb1028la-core-i5-1235u-8gb-512gb-fhd-24-color-negro/p/MCO44711212"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falabella.com.co/falabella-co/product/147707423/MONITOR-SAMSUNG-24-PULGADAS-FHD-IPS-100-HZ-LS24D300GANXZA/147707424" TargetMode="External"/><Relationship Id="rId2" Type="http://schemas.openxmlformats.org/officeDocument/2006/relationships/hyperlink" Target="https://www.samsung.com/co/monitors/flat/t35f-24-inch-ips-fhd-1080p-freesync-lf24t350fhlxzl/" TargetMode="External"/><Relationship Id="rId1" Type="http://schemas.openxmlformats.org/officeDocument/2006/relationships/hyperlink" Target="https://www.mercadolibre.com.co/monitor-led-de-24-con-panel-ips-y-diseno-sin-bordes-color-black-100v240v/p/MCO17360590?item_id=MCO1914459806&amp;from=gshop&amp;matt_tool=56249061&amp;matt_word=&amp;matt_source=google&amp;matt_campaign_id=14634237764&amp;matt_ad_group_id=153732147068&amp;matt_match_type=&amp;matt_network=g&amp;matt_device=c&amp;matt_creative=644988712033&amp;matt_keyword=&amp;matt_ad_position=&amp;matt_ad_type=pla&amp;matt_merchant_id=735129189&amp;matt_product_id=MCO17360590-product&amp;matt_product_partition_id=2265590047140&amp;matt_target_id=aud-2000227468263:pla-2265590047140&amp;cq_src=google_ads&amp;cq_cmp=14634237764&amp;cq_net=g&amp;cq_plt=gp&amp;cq_med=pla&amp;gad_source=1&amp;gclid=CjwKCAjwvIWzBhAlEiwAHHWgvVzs0MTeY65hnjtpzFBiYdHVgdMioQwOEsQknsZjONhWfjnbKqngvxoCSyQQAvD_Bw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exito.com/mouse-usb-optico-gamer-509-101314141-mp/p" TargetMode="External"/><Relationship Id="rId2" Type="http://schemas.openxmlformats.org/officeDocument/2006/relationships/hyperlink" Target="https://www.alkosto.com/mouse-hp-alambrico-optico-100-negro/p/193905461370" TargetMode="External"/><Relationship Id="rId1" Type="http://schemas.openxmlformats.org/officeDocument/2006/relationships/hyperlink" Target="https://compukar.com/producto/mouse-gaming-aurora-vsg/"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amerscolombia.com/products/teclado-logitech-g513-carbon-mecanico-rgb?variant=42172391129170" TargetMode="External"/><Relationship Id="rId2" Type="http://schemas.openxmlformats.org/officeDocument/2006/relationships/hyperlink" Target="https://www.proveel.com.co/combo-teclado-y-mouse-genius-km-170-usb-negro-windows-1011-sensor-optico-1000-dpi/p/MCO21766205?pdp_filters=seller_id%3A212604010" TargetMode="External"/><Relationship Id="rId1" Type="http://schemas.openxmlformats.org/officeDocument/2006/relationships/hyperlink" Target="https://www.ktronix.com/teclado-hp-inalambrico-bluetoooth-350/p/196548515868" TargetMode="Externa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hyperlink" Target="https://www.hostinger.com/co/comprar-dominio?utm_campaign=Generic-Domains|NT:Se|LO:CO&amp;utm_medium=ppc&amp;gad_source=1&amp;gad_campaignid=10835301752&amp;gbraid=0AAAAADMy-hYplBc8uWve4WpQxMDZGK0WF&amp;gclid=Cj0KCQiAubrJBhCbARIsAHIdxD_mKMJildEbHPvdrOPYpppgazqFARVIQ2UqCsDTvju07UZIOhHqdPgaArj9EALw_wcB" TargetMode="External"/><Relationship Id="rId1" Type="http://schemas.openxmlformats.org/officeDocument/2006/relationships/hyperlink" Target="https://www.hostinger.co/comprar-dominio?utm_campaign=Generic-Domains%7CNT:Se%7CLO:CO&amp;utm_medium=ppc&amp;gad_source=1&amp;gclid=CjwKCAjwmrqzBhAoEiwAXVpgoioZW8kbWzP_yj8a4oCrjVQHsLjTmdR4PkCrNy1hgiIFkQBTyGQ0pBoCVn0QAvD_Bw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meraki-easy.com/product/microsoft-365-plan-empresas-premium/" TargetMode="External"/><Relationship Id="rId2" Type="http://schemas.openxmlformats.org/officeDocument/2006/relationships/hyperlink" Target="https://www.syscaribe.com/producto/microsoft-365-business-premium-suscripcion-1-ano/" TargetMode="External"/><Relationship Id="rId1" Type="http://schemas.openxmlformats.org/officeDocument/2006/relationships/hyperlink" Target="https://www.godaddy.com/es/offers/email/professional-email?isc=coemlgon1&amp;marketid=es-CO&amp;currencyType=COP&amp;cdtl=c_17814084449.g_159845483920.k_kwd-297598318743.a_738793420782.d_c.ctv_g&amp;bnb=nb&amp;gad_source=1&amp;gad_campaignid=17814084449&amp;gbraid=0AAAAAD_AGdwv09D4XDeBvAoGCfFB3RkGw&amp;gclid=Cj0KCQiAubrJBhCbARIsAHIdxD__6oLJUMlq3XKQukhts6SRU7cptQyeUS-H7Vl0e7hONoR-P6m4qjcaAjWDEALw_wcB"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janus.com.co/products/licencia-windows-11-64bit-pro-en-espanol" TargetMode="External"/><Relationship Id="rId2" Type="http://schemas.openxmlformats.org/officeDocument/2006/relationships/hyperlink" Target="https://tauretcomputadores.com/product/licencia-windows-11-profesional" TargetMode="External"/><Relationship Id="rId1" Type="http://schemas.openxmlformats.org/officeDocument/2006/relationships/hyperlink" Target="https://technologystore2006.com/producto/licencia-microsoft-windows-11-profesional-oem-64-bits-dvd-fqc-10553/"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latiendadelaslicencias.com/es/windows-server-2022/licencia-windows-server-2022-standard.html?id_product_attribute=0" TargetMode="External"/><Relationship Id="rId2" Type="http://schemas.openxmlformats.org/officeDocument/2006/relationships/hyperlink" Target="https://uniq.software/es/windows/servers/windows-server-2022/windows-server-2022-standard" TargetMode="External"/><Relationship Id="rId1" Type="http://schemas.openxmlformats.org/officeDocument/2006/relationships/hyperlink" Target="https://revolutionsoft.com.co/windows-server-2022/licencia-windows-server-2022-standard.html?id_product_attribute=0"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tienda.zentinels.net/producto/licencia-visual-studio-2022-retail-pro-enterprise/" TargetMode="External"/><Relationship Id="rId2" Type="http://schemas.openxmlformats.org/officeDocument/2006/relationships/hyperlink" Target="https://allgoodkeys.com/es/producto/visual-studio-2022-enterprise/?utm_source=Google%20Shopping&amp;utm_campaign=Spanish%20Feed&amp;utm_medium=cpc&amp;utm_term=24440&amp;gad_source=1&amp;gclid=CjwKCAjwmrqzBhAoEiwAXVpgoqrOh7_CN-Nw_7Vt_TWzXuAEq4QIMGbfnc3-me_TzmuwptoTjVQSsRoCyP4QAvD_BwE" TargetMode="External"/><Relationship Id="rId1" Type="http://schemas.openxmlformats.org/officeDocument/2006/relationships/hyperlink" Target="https://www.microsoft.com/es-co/d/visual-studio-professional-2022/DG7GMGF0D3SJ/0002?OCID=AIDcmm6mu07qw1_seo_omc_goo&amp;source=googleshopping"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revolutionsoft.com.co/microsoft-sql-server/sql-server-2022-standard.html?id_product_attribute=0&amp;_gl=1*lymcuw*_up*MQ..*_ga*MTA3MzE4MDA4OC4xNzE4NTgzMzk2*_ga_C64VX5E0B0*MTcxODU4MzM5NS4xLjAuMTcxODU4MzM5NS4wLjAuMA.." TargetMode="External"/><Relationship Id="rId2" Type="http://schemas.openxmlformats.org/officeDocument/2006/relationships/hyperlink" Target="https://www.microsoft.com/es-es/d/sql-server-standard-2022/dg7gmgf0m80j?activetab=pivot:informaci%C3%B3ngeneraltab" TargetMode="External"/><Relationship Id="rId1" Type="http://schemas.openxmlformats.org/officeDocument/2006/relationships/hyperlink" Target="https://tintables.com/licencias-windows-server/41783-licencia-microsoft-sql-server-2022-standard-edition-24-cores-usuarios-ilimitado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5"/>
  <sheetViews>
    <sheetView tabSelected="1" topLeftCell="A6" workbookViewId="0">
      <selection activeCell="H10" sqref="H10"/>
    </sheetView>
  </sheetViews>
  <sheetFormatPr baseColWidth="10" defaultColWidth="12.5703125" defaultRowHeight="15" customHeight="1"/>
  <cols>
    <col min="1" max="3" width="19.140625" customWidth="1"/>
    <col min="4" max="4" width="21.85546875" customWidth="1"/>
    <col min="5" max="6" width="17" customWidth="1"/>
    <col min="7" max="7" width="21" customWidth="1"/>
    <col min="8" max="8" width="38.5703125" customWidth="1"/>
    <col min="9" max="10" width="19.140625" customWidth="1"/>
    <col min="11" max="26" width="10" customWidth="1"/>
  </cols>
  <sheetData>
    <row r="1" spans="1:26" ht="12.75" customHeight="1">
      <c r="A1" s="1"/>
    </row>
    <row r="2" spans="1:26" ht="27.75" customHeight="1">
      <c r="D2" s="119" t="s">
        <v>0</v>
      </c>
      <c r="E2" s="120"/>
      <c r="F2" s="120"/>
      <c r="G2" s="120"/>
      <c r="H2" s="120"/>
    </row>
    <row r="3" spans="1:26" ht="12.75" customHeight="1"/>
    <row r="4" spans="1:26" ht="12.75" customHeight="1"/>
    <row r="5" spans="1:26" ht="43.5" customHeight="1">
      <c r="A5" s="121" t="s">
        <v>1</v>
      </c>
      <c r="B5" s="122"/>
      <c r="C5" s="122"/>
      <c r="D5" s="122"/>
      <c r="E5" s="122"/>
      <c r="F5" s="122"/>
      <c r="G5" s="122"/>
      <c r="H5" s="122"/>
      <c r="I5" s="122"/>
      <c r="J5" s="123"/>
    </row>
    <row r="6" spans="1:26" ht="15.75" customHeight="1"/>
    <row r="7" spans="1:26" ht="75.75" customHeight="1">
      <c r="A7" s="2" t="s">
        <v>2</v>
      </c>
      <c r="B7" s="3" t="s">
        <v>3</v>
      </c>
      <c r="C7" s="3" t="s">
        <v>4</v>
      </c>
      <c r="D7" s="4" t="s">
        <v>5</v>
      </c>
      <c r="E7" s="5" t="s">
        <v>6</v>
      </c>
      <c r="F7" s="6" t="s">
        <v>7</v>
      </c>
      <c r="G7" s="7" t="s">
        <v>8</v>
      </c>
      <c r="H7" s="8" t="s">
        <v>9</v>
      </c>
      <c r="I7" s="3" t="s">
        <v>10</v>
      </c>
      <c r="J7" s="3" t="s">
        <v>11</v>
      </c>
      <c r="K7" s="9"/>
      <c r="L7" s="9"/>
      <c r="M7" s="9"/>
      <c r="N7" s="9"/>
      <c r="O7" s="9"/>
      <c r="P7" s="9"/>
      <c r="Q7" s="9"/>
      <c r="R7" s="9"/>
      <c r="S7" s="9"/>
      <c r="T7" s="9"/>
      <c r="U7" s="9"/>
      <c r="V7" s="9"/>
      <c r="W7" s="9"/>
      <c r="X7" s="9"/>
      <c r="Y7" s="9"/>
      <c r="Z7" s="9"/>
    </row>
    <row r="8" spans="1:26" ht="50.25" customHeight="1">
      <c r="A8" s="10" t="s">
        <v>12</v>
      </c>
      <c r="B8" s="11" t="s">
        <v>207</v>
      </c>
      <c r="C8" s="81" t="s">
        <v>200</v>
      </c>
      <c r="D8" s="12" t="s">
        <v>201</v>
      </c>
      <c r="E8" s="13">
        <v>6486513</v>
      </c>
      <c r="F8" s="14">
        <f>E8*19%</f>
        <v>1232437.47</v>
      </c>
      <c r="G8" s="88">
        <f>E8/44540</f>
        <v>145.63343062415805</v>
      </c>
      <c r="H8" s="89">
        <f>F8/G8</f>
        <v>8462.6</v>
      </c>
      <c r="I8" s="15" t="s">
        <v>13</v>
      </c>
      <c r="J8" s="16" t="s">
        <v>209</v>
      </c>
    </row>
    <row r="9" spans="1:26" ht="15" hidden="1" customHeight="1">
      <c r="C9" s="17"/>
      <c r="D9" s="18"/>
      <c r="E9" s="17"/>
      <c r="G9" s="88">
        <f t="shared" ref="G9:G11" si="0">E9/44540</f>
        <v>0</v>
      </c>
      <c r="H9" s="89" t="e">
        <f>F9/G9</f>
        <v>#DIV/0!</v>
      </c>
    </row>
    <row r="10" spans="1:26" ht="47.25" customHeight="1">
      <c r="A10" s="10" t="s">
        <v>14</v>
      </c>
      <c r="B10" s="11" t="s">
        <v>15</v>
      </c>
      <c r="C10" s="81" t="s">
        <v>203</v>
      </c>
      <c r="D10" s="19" t="s">
        <v>202</v>
      </c>
      <c r="E10" s="20">
        <v>9811131</v>
      </c>
      <c r="F10" s="21">
        <f>E10*19%</f>
        <v>1864114.8900000001</v>
      </c>
      <c r="G10" s="88">
        <f t="shared" si="0"/>
        <v>220.27685226762461</v>
      </c>
      <c r="H10" s="89">
        <f>F10/G10</f>
        <v>8462.6</v>
      </c>
      <c r="I10" s="15" t="s">
        <v>13</v>
      </c>
      <c r="J10" s="22" t="s">
        <v>210</v>
      </c>
    </row>
    <row r="11" spans="1:26" ht="76.5" customHeight="1">
      <c r="A11" s="10" t="s">
        <v>16</v>
      </c>
      <c r="B11" s="23" t="s">
        <v>206</v>
      </c>
      <c r="C11" s="81" t="s">
        <v>204</v>
      </c>
      <c r="D11" s="24" t="s">
        <v>205</v>
      </c>
      <c r="E11" s="82">
        <v>6969900</v>
      </c>
      <c r="F11" s="83">
        <f>E11*19%</f>
        <v>1324281</v>
      </c>
      <c r="G11" s="88">
        <f t="shared" si="0"/>
        <v>156.4863044454423</v>
      </c>
      <c r="H11" s="89">
        <f>F11/G11</f>
        <v>8462.6</v>
      </c>
      <c r="I11" s="27" t="s">
        <v>13</v>
      </c>
      <c r="J11" s="28" t="s">
        <v>208</v>
      </c>
    </row>
    <row r="12" spans="1:26" ht="59.25" customHeight="1"/>
    <row r="13" spans="1:26" ht="51" customHeight="1"/>
    <row r="14" spans="1:26" ht="39.75" customHeight="1"/>
    <row r="15" spans="1:26" ht="52.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sheetData>
  <mergeCells count="2">
    <mergeCell ref="D2:H2"/>
    <mergeCell ref="A5:J5"/>
  </mergeCells>
  <hyperlinks>
    <hyperlink ref="C8" r:id="rId1" xr:uid="{00000000-0004-0000-0000-000000000000}"/>
    <hyperlink ref="C10" r:id="rId2" display="https://www.ebay.com/itm/389285999878?_trkparms=amclksrc%3DITM%26aid%3D1110006%26algo%3DHOMESPLICE.SIM%26ao%3D1%26asc%3D295742%26meid%3Df279dc2bce3b479ba9ed948bd89eb5b4%26pid%3D101224%26rk%3D1%26rkt%3D5%26sd%3D386614055784%26itm%3D389285999878%26pmt%3D1%26noa%3D1%26pg%3D2332490%26algv%3DDefaultOrganicWebV9BertRefreshRankerWithCassiniEmbRecall%26brand%3DHPE&amp;_trksid=p2332490.c101224.m-1" xr:uid="{00000000-0004-0000-0000-000001000000}"/>
    <hyperlink ref="C11" r:id="rId3" xr:uid="{00000000-0004-0000-0000-000002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6" workbookViewId="0">
      <selection activeCell="H8" sqref="H8"/>
    </sheetView>
  </sheetViews>
  <sheetFormatPr baseColWidth="10" defaultColWidth="12.5703125" defaultRowHeight="15" customHeight="1"/>
  <cols>
    <col min="1" max="3" width="19.140625" customWidth="1"/>
    <col min="4" max="4" width="21.85546875" customWidth="1"/>
    <col min="5" max="6" width="17" customWidth="1"/>
    <col min="7" max="7" width="21" customWidth="1"/>
    <col min="8" max="8" width="17" customWidth="1"/>
    <col min="9" max="10" width="19.140625" customWidth="1"/>
    <col min="11" max="26" width="10" customWidth="1"/>
  </cols>
  <sheetData>
    <row r="1" spans="1:26" ht="12.75" customHeight="1">
      <c r="A1" s="1"/>
    </row>
    <row r="2" spans="1:26" ht="27.75" customHeight="1">
      <c r="A2" s="131" t="s">
        <v>0</v>
      </c>
      <c r="B2" s="122"/>
      <c r="C2" s="122"/>
      <c r="D2" s="122"/>
      <c r="E2" s="122"/>
      <c r="F2" s="122"/>
      <c r="G2" s="122"/>
      <c r="H2" s="122"/>
      <c r="I2" s="122"/>
      <c r="J2" s="123"/>
    </row>
    <row r="3" spans="1:26" ht="12.75" customHeight="1">
      <c r="A3" s="124"/>
      <c r="B3" s="125"/>
      <c r="C3" s="125"/>
      <c r="D3" s="125"/>
      <c r="E3" s="125"/>
      <c r="F3" s="125"/>
      <c r="G3" s="125"/>
      <c r="H3" s="125"/>
      <c r="I3" s="125"/>
      <c r="J3" s="126"/>
    </row>
    <row r="4" spans="1:26" ht="12.75" customHeight="1">
      <c r="A4" s="127"/>
      <c r="B4" s="128"/>
      <c r="C4" s="128"/>
      <c r="D4" s="128"/>
      <c r="E4" s="128"/>
      <c r="F4" s="128"/>
      <c r="G4" s="128"/>
      <c r="H4" s="128"/>
      <c r="I4" s="128"/>
      <c r="J4" s="129"/>
    </row>
    <row r="5" spans="1:26" ht="43.5" customHeight="1">
      <c r="A5" s="121" t="s">
        <v>1</v>
      </c>
      <c r="B5" s="122"/>
      <c r="C5" s="122"/>
      <c r="D5" s="122"/>
      <c r="E5" s="122"/>
      <c r="F5" s="122"/>
      <c r="G5" s="122"/>
      <c r="H5" s="122"/>
      <c r="I5" s="122"/>
      <c r="J5" s="123"/>
    </row>
    <row r="6" spans="1:26" ht="15.75" customHeight="1">
      <c r="A6" s="130"/>
      <c r="B6" s="122"/>
      <c r="C6" s="122"/>
      <c r="D6" s="122"/>
      <c r="E6" s="122"/>
      <c r="F6" s="122"/>
      <c r="G6" s="122"/>
      <c r="H6" s="122"/>
      <c r="I6" s="122"/>
      <c r="J6" s="123"/>
    </row>
    <row r="7" spans="1:26" ht="75.75" customHeight="1">
      <c r="A7" s="2" t="s">
        <v>2</v>
      </c>
      <c r="B7" s="3" t="s">
        <v>17</v>
      </c>
      <c r="C7" s="3" t="s">
        <v>18</v>
      </c>
      <c r="D7" s="4" t="s">
        <v>19</v>
      </c>
      <c r="E7" s="5" t="s">
        <v>20</v>
      </c>
      <c r="F7" s="6" t="s">
        <v>21</v>
      </c>
      <c r="G7" s="7" t="s">
        <v>22</v>
      </c>
      <c r="H7" s="8" t="s">
        <v>9</v>
      </c>
      <c r="I7" s="3" t="s">
        <v>23</v>
      </c>
      <c r="J7" s="3" t="s">
        <v>24</v>
      </c>
      <c r="K7" s="9"/>
      <c r="L7" s="9"/>
      <c r="M7" s="9"/>
      <c r="N7" s="9"/>
      <c r="O7" s="9"/>
      <c r="P7" s="9"/>
      <c r="Q7" s="9"/>
      <c r="R7" s="9"/>
      <c r="S7" s="9"/>
      <c r="T7" s="9"/>
      <c r="U7" s="9"/>
      <c r="V7" s="9"/>
      <c r="W7" s="9"/>
      <c r="X7" s="9"/>
      <c r="Y7" s="9"/>
      <c r="Z7" s="9"/>
    </row>
    <row r="8" spans="1:26" ht="50.25" customHeight="1">
      <c r="A8" s="10" t="s">
        <v>12</v>
      </c>
      <c r="B8" s="11" t="s">
        <v>217</v>
      </c>
      <c r="C8" s="81" t="s">
        <v>218</v>
      </c>
      <c r="D8" s="54" t="s">
        <v>216</v>
      </c>
      <c r="E8" s="13">
        <v>3379901</v>
      </c>
      <c r="F8" s="14">
        <f>E8*19%</f>
        <v>642181.19000000006</v>
      </c>
      <c r="G8" s="88">
        <f>F8/44540</f>
        <v>14.418077907498878</v>
      </c>
      <c r="H8" s="89">
        <f>F8/G8</f>
        <v>44540</v>
      </c>
      <c r="I8" s="27" t="s">
        <v>13</v>
      </c>
      <c r="J8" s="16" t="s">
        <v>27</v>
      </c>
    </row>
    <row r="9" spans="1:26" ht="15" hidden="1" customHeight="1">
      <c r="C9" s="17"/>
      <c r="D9" s="54" t="s">
        <v>26</v>
      </c>
      <c r="E9" s="17"/>
      <c r="G9" s="88">
        <f>F9/44540</f>
        <v>0</v>
      </c>
      <c r="H9" s="89" t="e">
        <f>F9/G9</f>
        <v>#DIV/0!</v>
      </c>
      <c r="I9" s="27" t="s">
        <v>13</v>
      </c>
    </row>
    <row r="10" spans="1:26" ht="80.25" customHeight="1">
      <c r="A10" s="10" t="s">
        <v>14</v>
      </c>
      <c r="B10" s="11" t="s">
        <v>28</v>
      </c>
      <c r="C10" s="81" t="s">
        <v>211</v>
      </c>
      <c r="D10" s="54" t="s">
        <v>212</v>
      </c>
      <c r="E10" s="108">
        <v>2349900</v>
      </c>
      <c r="F10" s="21">
        <f>E10*19%</f>
        <v>446481</v>
      </c>
      <c r="G10" s="88">
        <f>F10/44540</f>
        <v>10.024270318814549</v>
      </c>
      <c r="H10" s="89">
        <f>F10/G10</f>
        <v>44540</v>
      </c>
      <c r="I10" s="27" t="s">
        <v>13</v>
      </c>
      <c r="J10" s="22" t="s">
        <v>215</v>
      </c>
    </row>
    <row r="11" spans="1:26" ht="76.5" customHeight="1">
      <c r="A11" s="10" t="s">
        <v>16</v>
      </c>
      <c r="B11" s="23" t="s">
        <v>29</v>
      </c>
      <c r="C11" s="81" t="s">
        <v>246</v>
      </c>
      <c r="D11" s="54" t="s">
        <v>26</v>
      </c>
      <c r="E11" s="55">
        <v>2149030</v>
      </c>
      <c r="F11" s="26">
        <f>E11*19%</f>
        <v>408315.7</v>
      </c>
      <c r="G11" s="88">
        <f>F11/44540</f>
        <v>9.1673933542882811</v>
      </c>
      <c r="H11" s="89">
        <f>F11/G11</f>
        <v>44540</v>
      </c>
      <c r="I11" s="27" t="s">
        <v>213</v>
      </c>
      <c r="J11" s="28" t="s">
        <v>214</v>
      </c>
    </row>
    <row r="12" spans="1:26" ht="59.25" customHeight="1"/>
    <row r="13" spans="1:26" ht="51" customHeight="1"/>
    <row r="14" spans="1:26" ht="39.75" customHeight="1"/>
    <row r="15" spans="1:26" ht="52.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5:J5"/>
    <mergeCell ref="A3:J4"/>
    <mergeCell ref="A6:J6"/>
    <mergeCell ref="A2:J2"/>
  </mergeCells>
  <hyperlinks>
    <hyperlink ref="C8" r:id="rId1" xr:uid="{00000000-0004-0000-0100-000000000000}"/>
    <hyperlink ref="C10" r:id="rId2" xr:uid="{00000000-0004-0000-0100-000001000000}"/>
    <hyperlink ref="C11" r:id="rId3" xr:uid="{00000000-0004-0000-01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6" workbookViewId="0">
      <selection activeCell="H9" sqref="H9"/>
    </sheetView>
  </sheetViews>
  <sheetFormatPr baseColWidth="10" defaultColWidth="12.5703125" defaultRowHeight="15" customHeight="1"/>
  <cols>
    <col min="1" max="3" width="19.140625" customWidth="1"/>
    <col min="4" max="4" width="21.85546875" customWidth="1"/>
    <col min="5" max="5" width="22.5703125" customWidth="1"/>
    <col min="6" max="6" width="23.5703125" customWidth="1"/>
    <col min="7" max="7" width="21" customWidth="1"/>
    <col min="8" max="8" width="24.85546875" customWidth="1"/>
    <col min="9" max="10" width="19.140625" customWidth="1"/>
    <col min="11" max="26" width="10" customWidth="1"/>
  </cols>
  <sheetData>
    <row r="1" spans="1:26" ht="12.75" customHeight="1">
      <c r="A1" s="1"/>
    </row>
    <row r="2" spans="1:26" ht="27.75" customHeight="1">
      <c r="D2" s="119" t="s">
        <v>0</v>
      </c>
      <c r="E2" s="120"/>
      <c r="F2" s="120"/>
      <c r="G2" s="120"/>
      <c r="H2" s="120"/>
    </row>
    <row r="3" spans="1:26" ht="12.75" customHeight="1"/>
    <row r="4" spans="1:26" ht="12.75" customHeight="1"/>
    <row r="5" spans="1:26" ht="43.5" customHeight="1">
      <c r="A5" s="121" t="s">
        <v>1</v>
      </c>
      <c r="B5" s="122"/>
      <c r="C5" s="122"/>
      <c r="D5" s="122"/>
      <c r="E5" s="122"/>
      <c r="F5" s="122"/>
      <c r="G5" s="122"/>
      <c r="H5" s="122"/>
      <c r="I5" s="122"/>
      <c r="J5" s="123"/>
    </row>
    <row r="6" spans="1:26" ht="15.75" customHeight="1"/>
    <row r="7" spans="1:26" ht="75.75" customHeight="1">
      <c r="A7" s="2" t="s">
        <v>2</v>
      </c>
      <c r="B7" s="3" t="s">
        <v>30</v>
      </c>
      <c r="C7" s="3" t="s">
        <v>31</v>
      </c>
      <c r="D7" s="3" t="s">
        <v>32</v>
      </c>
      <c r="E7" s="5" t="s">
        <v>33</v>
      </c>
      <c r="F7" s="56" t="s">
        <v>34</v>
      </c>
      <c r="G7" s="57" t="s">
        <v>35</v>
      </c>
      <c r="H7" s="8" t="s">
        <v>9</v>
      </c>
      <c r="I7" s="3" t="s">
        <v>36</v>
      </c>
      <c r="J7" s="3" t="s">
        <v>37</v>
      </c>
      <c r="K7" s="9"/>
      <c r="L7" s="9"/>
      <c r="M7" s="9"/>
      <c r="N7" s="9"/>
      <c r="O7" s="9"/>
      <c r="P7" s="9"/>
      <c r="Q7" s="9"/>
      <c r="R7" s="9"/>
      <c r="S7" s="9"/>
      <c r="T7" s="9"/>
      <c r="U7" s="9"/>
      <c r="V7" s="9"/>
      <c r="W7" s="9"/>
      <c r="X7" s="9"/>
      <c r="Y7" s="9"/>
      <c r="Z7" s="9"/>
    </row>
    <row r="8" spans="1:26" ht="63.75" customHeight="1">
      <c r="A8" s="10" t="s">
        <v>38</v>
      </c>
      <c r="B8" s="109" t="s">
        <v>25</v>
      </c>
      <c r="C8" s="90" t="s">
        <v>250</v>
      </c>
      <c r="D8" s="59" t="s">
        <v>249</v>
      </c>
      <c r="E8" s="60">
        <v>5489900</v>
      </c>
      <c r="F8" s="61">
        <f>E8*19%</f>
        <v>1043081</v>
      </c>
      <c r="G8" s="85">
        <f>E8/44540</f>
        <v>123.25774584643017</v>
      </c>
      <c r="H8" s="87">
        <f>F8/G8</f>
        <v>8462.6</v>
      </c>
      <c r="I8" s="63" t="s">
        <v>40</v>
      </c>
      <c r="J8" s="64" t="s">
        <v>251</v>
      </c>
    </row>
    <row r="9" spans="1:26" ht="50.25" customHeight="1">
      <c r="A9" s="10" t="s">
        <v>14</v>
      </c>
      <c r="B9" s="109" t="s">
        <v>229</v>
      </c>
      <c r="C9" s="90" t="s">
        <v>253</v>
      </c>
      <c r="D9" s="59" t="s">
        <v>252</v>
      </c>
      <c r="E9" s="84">
        <v>1691953</v>
      </c>
      <c r="F9" s="61">
        <f t="shared" ref="F9:F10" si="0">E9*19%</f>
        <v>321471.07</v>
      </c>
      <c r="G9" s="85">
        <f t="shared" ref="G9:G10" si="1">E9/44540</f>
        <v>37.987269869779972</v>
      </c>
      <c r="H9" s="87">
        <f t="shared" ref="H9:H10" si="2">F9/G9</f>
        <v>8462.6</v>
      </c>
      <c r="I9" s="63" t="s">
        <v>40</v>
      </c>
      <c r="J9" s="64" t="s">
        <v>219</v>
      </c>
    </row>
    <row r="10" spans="1:26" ht="50.25" customHeight="1">
      <c r="A10" s="10" t="s">
        <v>16</v>
      </c>
      <c r="B10" s="109" t="s">
        <v>41</v>
      </c>
      <c r="C10" s="58" t="s">
        <v>42</v>
      </c>
      <c r="D10" s="59" t="s">
        <v>39</v>
      </c>
      <c r="E10" s="60">
        <v>12899900</v>
      </c>
      <c r="F10" s="61">
        <f t="shared" si="0"/>
        <v>2450981</v>
      </c>
      <c r="G10" s="85">
        <f t="shared" si="1"/>
        <v>289.62505612932193</v>
      </c>
      <c r="H10" s="87">
        <f t="shared" si="2"/>
        <v>8462.6</v>
      </c>
      <c r="I10" s="63" t="s">
        <v>40</v>
      </c>
      <c r="J10" s="65" t="s">
        <v>220</v>
      </c>
    </row>
    <row r="11" spans="1:26" ht="15" hidden="1" customHeight="1">
      <c r="J11" s="66"/>
    </row>
    <row r="12" spans="1:26" ht="36.75" customHeight="1">
      <c r="D12" s="110"/>
      <c r="J12" s="66"/>
    </row>
    <row r="13" spans="1:26" ht="47.25" customHeight="1">
      <c r="E13" s="86"/>
      <c r="J13" s="66"/>
    </row>
    <row r="14" spans="1:26" ht="76.5" customHeight="1">
      <c r="J14" s="66"/>
    </row>
    <row r="15" spans="1:26" ht="59.25" customHeight="1">
      <c r="J15" s="67"/>
    </row>
    <row r="16" spans="1:26" ht="51" customHeight="1">
      <c r="J16" s="66"/>
    </row>
    <row r="17" spans="10:10" ht="39.75" customHeight="1">
      <c r="J17" s="66"/>
    </row>
    <row r="18" spans="10:10" ht="52.5" customHeight="1">
      <c r="J18" s="66"/>
    </row>
    <row r="19" spans="10:10" ht="12.75" customHeight="1">
      <c r="J19" s="66"/>
    </row>
    <row r="20" spans="10:10" ht="12.75" customHeight="1">
      <c r="J20" s="67"/>
    </row>
    <row r="21" spans="10:10" ht="12.75" customHeight="1">
      <c r="J21" s="66"/>
    </row>
    <row r="22" spans="10:10" ht="12.75" customHeight="1">
      <c r="J22" s="66"/>
    </row>
    <row r="23" spans="10:10" ht="12.75" customHeight="1">
      <c r="J23" s="66"/>
    </row>
    <row r="24" spans="10:10" ht="12.75" customHeight="1">
      <c r="J24" s="66"/>
    </row>
    <row r="25" spans="10:10" ht="12.75" customHeight="1"/>
    <row r="26" spans="10:10" ht="12.75" customHeight="1"/>
    <row r="27" spans="10:10" ht="12.75" customHeight="1"/>
    <row r="28" spans="10:10" ht="12.75" customHeight="1"/>
    <row r="29" spans="10:10" ht="12.75" customHeight="1"/>
    <row r="30" spans="10:10" ht="12.75" customHeight="1"/>
    <row r="31" spans="10:10" ht="12.75" customHeight="1"/>
    <row r="32" spans="10: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H2"/>
    <mergeCell ref="A5:J5"/>
  </mergeCells>
  <hyperlinks>
    <hyperlink ref="C8" r:id="rId1" xr:uid="{00000000-0004-0000-0200-000000000000}"/>
    <hyperlink ref="C9" r:id="rId2" xr:uid="{00000000-0004-0000-0200-000001000000}"/>
    <hyperlink ref="C10" r:id="rId3" location="searchVariation=MCO28766788&amp;position=3&amp;search_layout=stack&amp;type=product&amp;tracking_id=429908a8-f413-460a-ab94-8995518af673" xr:uid="{00000000-0004-0000-0200-000002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topLeftCell="A6" workbookViewId="0">
      <selection activeCell="H10" sqref="H10"/>
    </sheetView>
  </sheetViews>
  <sheetFormatPr baseColWidth="10" defaultColWidth="12.5703125" defaultRowHeight="15" customHeight="1"/>
  <cols>
    <col min="1" max="3" width="19.140625" customWidth="1"/>
    <col min="4" max="4" width="21.85546875" customWidth="1"/>
    <col min="5" max="6" width="17" customWidth="1"/>
    <col min="7" max="7" width="21" customWidth="1"/>
    <col min="8" max="8" width="17" customWidth="1"/>
    <col min="9" max="10" width="19.140625" customWidth="1"/>
    <col min="11" max="26" width="10" customWidth="1"/>
  </cols>
  <sheetData>
    <row r="1" spans="1:26" ht="12.75" customHeight="1">
      <c r="A1" s="1"/>
    </row>
    <row r="2" spans="1:26" ht="27.75" customHeight="1">
      <c r="D2" s="119" t="s">
        <v>0</v>
      </c>
      <c r="E2" s="120"/>
      <c r="F2" s="120"/>
      <c r="G2" s="120"/>
      <c r="H2" s="120"/>
    </row>
    <row r="3" spans="1:26" ht="12.75" customHeight="1"/>
    <row r="4" spans="1:26" ht="12.75" customHeight="1"/>
    <row r="5" spans="1:26" ht="43.5" customHeight="1">
      <c r="A5" s="121" t="s">
        <v>1</v>
      </c>
      <c r="B5" s="122"/>
      <c r="C5" s="122"/>
      <c r="D5" s="122"/>
      <c r="E5" s="122"/>
      <c r="F5" s="122"/>
      <c r="G5" s="122"/>
      <c r="H5" s="122"/>
      <c r="I5" s="122"/>
      <c r="J5" s="123"/>
    </row>
    <row r="6" spans="1:26" ht="15.75" customHeight="1"/>
    <row r="7" spans="1:26" ht="75.75" customHeight="1">
      <c r="A7" s="2" t="s">
        <v>2</v>
      </c>
      <c r="B7" s="3" t="s">
        <v>43</v>
      </c>
      <c r="C7" s="3" t="s">
        <v>44</v>
      </c>
      <c r="D7" s="3" t="s">
        <v>45</v>
      </c>
      <c r="E7" s="68" t="s">
        <v>46</v>
      </c>
      <c r="F7" s="56" t="s">
        <v>47</v>
      </c>
      <c r="G7" s="57" t="s">
        <v>48</v>
      </c>
      <c r="H7" s="8" t="s">
        <v>9</v>
      </c>
      <c r="I7" s="3" t="s">
        <v>49</v>
      </c>
      <c r="J7" s="3" t="s">
        <v>50</v>
      </c>
      <c r="K7" s="9"/>
      <c r="L7" s="9"/>
      <c r="M7" s="9"/>
      <c r="N7" s="9"/>
      <c r="O7" s="9"/>
      <c r="P7" s="9"/>
      <c r="Q7" s="9"/>
      <c r="R7" s="9"/>
      <c r="S7" s="9"/>
      <c r="T7" s="9"/>
      <c r="U7" s="9"/>
      <c r="V7" s="9"/>
      <c r="W7" s="9"/>
      <c r="X7" s="9"/>
      <c r="Y7" s="9"/>
      <c r="Z7" s="9"/>
    </row>
    <row r="8" spans="1:26" ht="50.25" customHeight="1">
      <c r="A8" s="10" t="s">
        <v>12</v>
      </c>
      <c r="B8" s="11" t="s">
        <v>51</v>
      </c>
      <c r="C8" s="90" t="s">
        <v>221</v>
      </c>
      <c r="D8" s="69" t="s">
        <v>52</v>
      </c>
      <c r="E8" s="70">
        <v>2169100</v>
      </c>
      <c r="F8" s="62">
        <f>E8*19%</f>
        <v>412129</v>
      </c>
      <c r="G8" s="91">
        <f>E8/44540</f>
        <v>48.700044903457567</v>
      </c>
      <c r="H8" s="92">
        <f>F8/G8</f>
        <v>8462.6</v>
      </c>
      <c r="I8" s="15" t="s">
        <v>13</v>
      </c>
      <c r="J8" s="16" t="s">
        <v>222</v>
      </c>
    </row>
    <row r="9" spans="1:26" ht="15" hidden="1" customHeight="1">
      <c r="D9" s="69" t="s">
        <v>53</v>
      </c>
      <c r="F9" s="62">
        <f>E9*19%</f>
        <v>0</v>
      </c>
      <c r="G9" s="91">
        <f t="shared" ref="G9:G11" si="0">E9/44540</f>
        <v>0</v>
      </c>
      <c r="H9" s="92" t="e">
        <f>F9/G9</f>
        <v>#DIV/0!</v>
      </c>
    </row>
    <row r="10" spans="1:26" ht="82.5" customHeight="1">
      <c r="A10" s="10" t="s">
        <v>14</v>
      </c>
      <c r="B10" s="11" t="s">
        <v>25</v>
      </c>
      <c r="C10" s="90" t="s">
        <v>223</v>
      </c>
      <c r="D10" s="69" t="s">
        <v>224</v>
      </c>
      <c r="E10" s="21">
        <v>3999900</v>
      </c>
      <c r="F10" s="62">
        <f>E10*19%</f>
        <v>759981</v>
      </c>
      <c r="G10" s="91">
        <f t="shared" si="0"/>
        <v>89.804669959586889</v>
      </c>
      <c r="H10" s="92">
        <f>F10/G10</f>
        <v>8462.6</v>
      </c>
      <c r="I10" s="15" t="s">
        <v>13</v>
      </c>
      <c r="J10" s="16" t="s">
        <v>54</v>
      </c>
    </row>
    <row r="11" spans="1:26" ht="47.25" customHeight="1">
      <c r="A11" s="10" t="s">
        <v>16</v>
      </c>
      <c r="B11" s="23" t="s">
        <v>55</v>
      </c>
      <c r="C11" s="90" t="s">
        <v>56</v>
      </c>
      <c r="D11" s="69" t="s">
        <v>57</v>
      </c>
      <c r="E11" s="21">
        <f>(2699000/1.19)</f>
        <v>2268067.2268907563</v>
      </c>
      <c r="F11" s="62">
        <f>E11*19%</f>
        <v>430932.77310924372</v>
      </c>
      <c r="G11" s="91">
        <f t="shared" si="0"/>
        <v>50.922030240025961</v>
      </c>
      <c r="H11" s="92">
        <f>F11/G11</f>
        <v>8462.6</v>
      </c>
      <c r="I11" s="15" t="s">
        <v>13</v>
      </c>
      <c r="J11" s="16" t="s">
        <v>58</v>
      </c>
    </row>
    <row r="12" spans="1:26" ht="59.25" customHeight="1"/>
    <row r="13" spans="1:26" ht="51" customHeight="1"/>
    <row r="14" spans="1:26" ht="39.75" customHeight="1"/>
    <row r="15" spans="1:26" ht="52.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D2:H2"/>
    <mergeCell ref="A5:J5"/>
  </mergeCells>
  <hyperlinks>
    <hyperlink ref="C8" r:id="rId1" location="polycard_client=search-nordic&amp;search_layout=stack&amp;position=1&amp;type=product&amp;tracking_id=f4cd8835-4bb9-47a5-a732-88731b268404&amp;wid=MCO2867135456&amp;sid=search" display="https://www.mercadolibre.com.co/todo-en-uno-aio-24-cb1028la-core-i5-1235u-8gb-512gb-fhd-24-color-negro/p/MCO44711212#polycard_client=search-nordic&amp;search_layout=stack&amp;position=1&amp;type=product&amp;tracking_id=f4cd8835-4bb9-47a5-a732-88731b268404&amp;wid=MCO2867135456&amp;sid=search" xr:uid="{00000000-0004-0000-0300-000000000000}"/>
    <hyperlink ref="C10" r:id="rId2" xr:uid="{E9097D7E-CED7-45FD-B94D-F069FDD4B4D2}"/>
    <hyperlink ref="C11" r:id="rId3" xr:uid="{E72C46BD-B8A2-44FE-A723-A090E090BA5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6" workbookViewId="0">
      <selection activeCell="H8" sqref="H8"/>
    </sheetView>
  </sheetViews>
  <sheetFormatPr baseColWidth="10" defaultColWidth="12.5703125" defaultRowHeight="15" customHeight="1"/>
  <cols>
    <col min="1" max="3" width="19.140625" customWidth="1"/>
    <col min="4" max="4" width="21.85546875" customWidth="1"/>
    <col min="5" max="6" width="17" customWidth="1"/>
    <col min="7" max="7" width="21" customWidth="1"/>
    <col min="8" max="8" width="17" customWidth="1"/>
    <col min="9" max="10" width="19.140625" customWidth="1"/>
    <col min="11" max="26" width="10" customWidth="1"/>
  </cols>
  <sheetData>
    <row r="1" spans="1:26" ht="12.75" customHeight="1">
      <c r="A1" s="1"/>
    </row>
    <row r="2" spans="1:26" ht="27.75" customHeight="1">
      <c r="D2" s="119" t="s">
        <v>0</v>
      </c>
      <c r="E2" s="120"/>
      <c r="F2" s="120"/>
      <c r="G2" s="120"/>
      <c r="H2" s="120"/>
    </row>
    <row r="3" spans="1:26" ht="12.75" customHeight="1"/>
    <row r="4" spans="1:26" ht="12.75" customHeight="1"/>
    <row r="5" spans="1:26" ht="43.5" customHeight="1">
      <c r="A5" s="121" t="s">
        <v>1</v>
      </c>
      <c r="B5" s="122"/>
      <c r="C5" s="122"/>
      <c r="D5" s="122"/>
      <c r="E5" s="122"/>
      <c r="F5" s="122"/>
      <c r="G5" s="122"/>
      <c r="H5" s="122"/>
      <c r="I5" s="122"/>
      <c r="J5" s="123"/>
    </row>
    <row r="6" spans="1:26" ht="15.75" customHeight="1"/>
    <row r="7" spans="1:26" ht="75.75" customHeight="1">
      <c r="A7" s="2" t="s">
        <v>2</v>
      </c>
      <c r="B7" s="3" t="s">
        <v>59</v>
      </c>
      <c r="C7" s="3" t="s">
        <v>60</v>
      </c>
      <c r="D7" s="3" t="s">
        <v>61</v>
      </c>
      <c r="E7" s="5" t="s">
        <v>62</v>
      </c>
      <c r="F7" s="56" t="s">
        <v>63</v>
      </c>
      <c r="G7" s="57" t="s">
        <v>64</v>
      </c>
      <c r="H7" s="8" t="s">
        <v>9</v>
      </c>
      <c r="I7" s="3" t="s">
        <v>65</v>
      </c>
      <c r="J7" s="3" t="s">
        <v>66</v>
      </c>
      <c r="K7" s="9"/>
      <c r="L7" s="9"/>
      <c r="M7" s="9"/>
      <c r="N7" s="9"/>
      <c r="O7" s="9"/>
      <c r="P7" s="9"/>
      <c r="Q7" s="9"/>
      <c r="R7" s="9"/>
      <c r="S7" s="9"/>
      <c r="T7" s="9"/>
      <c r="U7" s="9"/>
      <c r="V7" s="9"/>
      <c r="W7" s="9"/>
      <c r="X7" s="9"/>
      <c r="Y7" s="9"/>
      <c r="Z7" s="9"/>
    </row>
    <row r="8" spans="1:26" ht="50.25" customHeight="1">
      <c r="A8" s="10" t="s">
        <v>38</v>
      </c>
      <c r="B8" s="3" t="s">
        <v>41</v>
      </c>
      <c r="C8" s="58" t="s">
        <v>67</v>
      </c>
      <c r="D8" s="71" t="s">
        <v>68</v>
      </c>
      <c r="E8" s="60">
        <v>1700</v>
      </c>
      <c r="F8" s="61">
        <f>E8*19%</f>
        <v>323</v>
      </c>
      <c r="G8" s="93">
        <f>E8/44540</f>
        <v>3.8167938931297711E-2</v>
      </c>
      <c r="H8" s="87">
        <f>F8/G8</f>
        <v>8462.6</v>
      </c>
      <c r="I8" s="63" t="s">
        <v>40</v>
      </c>
      <c r="J8" s="64" t="s">
        <v>69</v>
      </c>
    </row>
    <row r="9" spans="1:26" ht="50.25" customHeight="1">
      <c r="A9" s="10" t="s">
        <v>14</v>
      </c>
      <c r="B9" s="3" t="s">
        <v>70</v>
      </c>
      <c r="C9" s="58" t="s">
        <v>71</v>
      </c>
      <c r="D9" s="71" t="s">
        <v>68</v>
      </c>
      <c r="E9" s="60">
        <v>884250</v>
      </c>
      <c r="F9" s="61">
        <f>E9*19%</f>
        <v>168007.5</v>
      </c>
      <c r="G9" s="93">
        <f t="shared" ref="G9:G10" si="0">E9/44540</f>
        <v>19.852941176470587</v>
      </c>
      <c r="H9" s="87">
        <f t="shared" ref="H9:H10" si="1">F9/G9</f>
        <v>8462.6</v>
      </c>
      <c r="I9" s="63" t="s">
        <v>40</v>
      </c>
      <c r="J9" s="64" t="s">
        <v>72</v>
      </c>
    </row>
    <row r="10" spans="1:26" ht="50.25" customHeight="1">
      <c r="A10" s="10" t="s">
        <v>16</v>
      </c>
      <c r="B10" s="3" t="s">
        <v>28</v>
      </c>
      <c r="C10" s="90" t="s">
        <v>225</v>
      </c>
      <c r="D10" s="71" t="s">
        <v>226</v>
      </c>
      <c r="E10" s="60">
        <v>504900</v>
      </c>
      <c r="F10" s="61">
        <f>E10*19%</f>
        <v>95931</v>
      </c>
      <c r="G10" s="93">
        <f t="shared" si="0"/>
        <v>11.335877862595419</v>
      </c>
      <c r="H10" s="87">
        <f t="shared" si="1"/>
        <v>8462.6</v>
      </c>
      <c r="I10" s="63" t="s">
        <v>40</v>
      </c>
      <c r="J10" s="65" t="s">
        <v>73</v>
      </c>
    </row>
    <row r="11" spans="1:26" ht="15" hidden="1" customHeight="1">
      <c r="J11" s="66"/>
    </row>
    <row r="12" spans="1:26" ht="36.75" customHeight="1">
      <c r="J12" s="66"/>
    </row>
    <row r="13" spans="1:26" ht="47.25" customHeight="1">
      <c r="J13" s="66"/>
    </row>
    <row r="14" spans="1:26" ht="76.5" customHeight="1">
      <c r="J14" s="66"/>
    </row>
    <row r="15" spans="1:26" ht="59.25" customHeight="1">
      <c r="J15" s="67"/>
    </row>
    <row r="16" spans="1:26" ht="51" customHeight="1">
      <c r="J16" s="66"/>
    </row>
    <row r="17" spans="10:10" ht="39.75" customHeight="1">
      <c r="J17" s="66"/>
    </row>
    <row r="18" spans="10:10" ht="52.5" customHeight="1">
      <c r="J18" s="66"/>
    </row>
    <row r="19" spans="10:10" ht="12.75" customHeight="1">
      <c r="J19" s="66"/>
    </row>
    <row r="20" spans="10:10" ht="12.75" customHeight="1">
      <c r="J20" s="67"/>
    </row>
    <row r="21" spans="10:10" ht="12.75" customHeight="1">
      <c r="J21" s="66"/>
    </row>
    <row r="22" spans="10:10" ht="12.75" customHeight="1">
      <c r="J22" s="66"/>
    </row>
    <row r="23" spans="10:10" ht="12.75" customHeight="1">
      <c r="J23" s="66"/>
    </row>
    <row r="24" spans="10:10" ht="12.75" customHeight="1">
      <c r="J24" s="66"/>
    </row>
    <row r="25" spans="10:10" ht="12.75" customHeight="1"/>
    <row r="26" spans="10:10" ht="12.75" customHeight="1"/>
    <row r="27" spans="10:10" ht="12.75" customHeight="1"/>
    <row r="28" spans="10:10" ht="12.75" customHeight="1"/>
    <row r="29" spans="10:10" ht="12.75" customHeight="1"/>
    <row r="30" spans="10:10" ht="12.75" customHeight="1"/>
    <row r="31" spans="10:10" ht="12.75" customHeight="1"/>
    <row r="32" spans="10: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H2"/>
    <mergeCell ref="A5:J5"/>
  </mergeCells>
  <hyperlinks>
    <hyperlink ref="C8" r:id="rId1" xr:uid="{00000000-0004-0000-0400-000000000000}"/>
    <hyperlink ref="C9" r:id="rId2" xr:uid="{00000000-0004-0000-0400-000001000000}"/>
    <hyperlink ref="C10" r:id="rId3" xr:uid="{00000000-0004-0000-0400-000002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6" workbookViewId="0">
      <selection activeCell="G12" sqref="G12"/>
    </sheetView>
  </sheetViews>
  <sheetFormatPr baseColWidth="10" defaultColWidth="12.5703125" defaultRowHeight="15" customHeight="1"/>
  <cols>
    <col min="1" max="3" width="19.140625" customWidth="1"/>
    <col min="4" max="4" width="21.85546875" customWidth="1"/>
    <col min="5" max="6" width="17" customWidth="1"/>
    <col min="7" max="7" width="21" customWidth="1"/>
    <col min="8" max="8" width="17" customWidth="1"/>
    <col min="9" max="10" width="19.140625" customWidth="1"/>
    <col min="11" max="26" width="10" customWidth="1"/>
  </cols>
  <sheetData>
    <row r="1" spans="1:26" ht="12.75" customHeight="1">
      <c r="A1" s="1"/>
    </row>
    <row r="2" spans="1:26" ht="27.75" customHeight="1">
      <c r="D2" s="119" t="s">
        <v>0</v>
      </c>
      <c r="E2" s="120"/>
      <c r="F2" s="120"/>
      <c r="G2" s="120"/>
      <c r="H2" s="120"/>
    </row>
    <row r="3" spans="1:26" ht="12.75" customHeight="1"/>
    <row r="4" spans="1:26" ht="12.75" customHeight="1"/>
    <row r="5" spans="1:26" ht="43.5" customHeight="1">
      <c r="A5" s="121" t="s">
        <v>1</v>
      </c>
      <c r="B5" s="122"/>
      <c r="C5" s="122"/>
      <c r="D5" s="122"/>
      <c r="E5" s="122"/>
      <c r="F5" s="122"/>
      <c r="G5" s="122"/>
      <c r="H5" s="122"/>
      <c r="I5" s="122"/>
      <c r="J5" s="123"/>
    </row>
    <row r="6" spans="1:26" ht="15.75" customHeight="1"/>
    <row r="7" spans="1:26" ht="75.75" customHeight="1">
      <c r="A7" s="2" t="s">
        <v>2</v>
      </c>
      <c r="B7" s="3" t="s">
        <v>74</v>
      </c>
      <c r="C7" s="3" t="s">
        <v>75</v>
      </c>
      <c r="D7" s="3" t="s">
        <v>76</v>
      </c>
      <c r="E7" s="5" t="s">
        <v>77</v>
      </c>
      <c r="F7" s="56" t="s">
        <v>78</v>
      </c>
      <c r="G7" s="57" t="s">
        <v>79</v>
      </c>
      <c r="H7" s="8" t="s">
        <v>9</v>
      </c>
      <c r="I7" s="3" t="s">
        <v>80</v>
      </c>
      <c r="J7" s="3" t="s">
        <v>81</v>
      </c>
      <c r="K7" s="9"/>
      <c r="L7" s="9"/>
      <c r="M7" s="9"/>
      <c r="N7" s="9"/>
      <c r="O7" s="9"/>
      <c r="P7" s="9"/>
      <c r="Q7" s="9"/>
      <c r="R7" s="9"/>
      <c r="S7" s="9"/>
      <c r="T7" s="9"/>
      <c r="U7" s="9"/>
      <c r="V7" s="9"/>
      <c r="W7" s="9"/>
      <c r="X7" s="9"/>
      <c r="Y7" s="9"/>
      <c r="Z7" s="9"/>
    </row>
    <row r="8" spans="1:26" ht="50.25" customHeight="1">
      <c r="A8" s="10" t="s">
        <v>38</v>
      </c>
      <c r="B8" s="3" t="s">
        <v>82</v>
      </c>
      <c r="C8" s="58" t="s">
        <v>83</v>
      </c>
      <c r="D8" s="59" t="s">
        <v>84</v>
      </c>
      <c r="E8" s="60">
        <v>105000</v>
      </c>
      <c r="F8" s="61">
        <f>E8*19%</f>
        <v>19950</v>
      </c>
      <c r="G8" s="85">
        <f>E8/44540</f>
        <v>2.3574315222272113</v>
      </c>
      <c r="H8" s="87">
        <f>F8/G8</f>
        <v>8462.6</v>
      </c>
      <c r="I8" s="63" t="s">
        <v>40</v>
      </c>
      <c r="J8" s="64" t="s">
        <v>85</v>
      </c>
    </row>
    <row r="9" spans="1:26" ht="50.25" customHeight="1">
      <c r="A9" s="10" t="s">
        <v>14</v>
      </c>
      <c r="B9" s="3" t="s">
        <v>29</v>
      </c>
      <c r="C9" s="90" t="s">
        <v>228</v>
      </c>
      <c r="D9" s="59" t="s">
        <v>227</v>
      </c>
      <c r="E9" s="60">
        <v>29900</v>
      </c>
      <c r="F9" s="61">
        <f>E9*19%</f>
        <v>5681</v>
      </c>
      <c r="G9" s="85">
        <f t="shared" ref="G9:G10" si="0">E9/44540</f>
        <v>0.67130669061517734</v>
      </c>
      <c r="H9" s="87">
        <f t="shared" ref="H9:H10" si="1">F9/G9</f>
        <v>8462.6</v>
      </c>
      <c r="I9" s="63" t="s">
        <v>40</v>
      </c>
      <c r="J9" s="65" t="s">
        <v>87</v>
      </c>
    </row>
    <row r="10" spans="1:26" ht="50.25" customHeight="1">
      <c r="A10" s="10" t="s">
        <v>16</v>
      </c>
      <c r="B10" s="3" t="s">
        <v>229</v>
      </c>
      <c r="C10" s="90" t="s">
        <v>230</v>
      </c>
      <c r="D10" s="59" t="s">
        <v>231</v>
      </c>
      <c r="E10" s="84">
        <v>22</v>
      </c>
      <c r="F10" s="61">
        <f>E10*19%</f>
        <v>4.18</v>
      </c>
      <c r="G10" s="85">
        <f t="shared" si="0"/>
        <v>4.9393803322855855E-4</v>
      </c>
      <c r="H10" s="87">
        <f t="shared" si="1"/>
        <v>8462.6</v>
      </c>
      <c r="I10" s="63" t="s">
        <v>40</v>
      </c>
      <c r="J10" s="65" t="s">
        <v>88</v>
      </c>
    </row>
    <row r="11" spans="1:26" ht="15" hidden="1" customHeight="1">
      <c r="J11" s="66"/>
    </row>
    <row r="12" spans="1:26" ht="36.75" customHeight="1">
      <c r="J12" s="66"/>
    </row>
    <row r="13" spans="1:26" ht="47.25" customHeight="1">
      <c r="J13" s="66"/>
    </row>
    <row r="14" spans="1:26" ht="76.5" customHeight="1">
      <c r="J14" s="66"/>
    </row>
    <row r="15" spans="1:26" ht="59.25" customHeight="1">
      <c r="J15" s="67"/>
    </row>
    <row r="16" spans="1:26" ht="51" customHeight="1">
      <c r="J16" s="66"/>
    </row>
    <row r="17" spans="10:10" ht="39.75" customHeight="1">
      <c r="J17" s="66"/>
    </row>
    <row r="18" spans="10:10" ht="52.5" customHeight="1">
      <c r="J18" s="66"/>
    </row>
    <row r="19" spans="10:10" ht="12.75" customHeight="1">
      <c r="J19" s="66"/>
    </row>
    <row r="20" spans="10:10" ht="12.75" customHeight="1">
      <c r="J20" s="67"/>
    </row>
    <row r="21" spans="10:10" ht="12.75" customHeight="1">
      <c r="J21" s="66"/>
    </row>
    <row r="22" spans="10:10" ht="12.75" customHeight="1">
      <c r="J22" s="66"/>
    </row>
    <row r="23" spans="10:10" ht="12.75" customHeight="1">
      <c r="J23" s="66"/>
    </row>
    <row r="24" spans="10:10" ht="12.75" customHeight="1">
      <c r="J24" s="66"/>
    </row>
    <row r="25" spans="10:10" ht="12.75" customHeight="1"/>
    <row r="26" spans="10:10" ht="12.75" customHeight="1"/>
    <row r="27" spans="10:10" ht="12.75" customHeight="1"/>
    <row r="28" spans="10:10" ht="12.75" customHeight="1"/>
    <row r="29" spans="10:10" ht="12.75" customHeight="1"/>
    <row r="30" spans="10:10" ht="12.75" customHeight="1"/>
    <row r="31" spans="10:10" ht="12.75" customHeight="1"/>
    <row r="32" spans="10: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H2"/>
    <mergeCell ref="A5:J5"/>
  </mergeCells>
  <hyperlinks>
    <hyperlink ref="C8" r:id="rId1" xr:uid="{00000000-0004-0000-0500-000000000000}"/>
    <hyperlink ref="C9" r:id="rId2" xr:uid="{00000000-0004-0000-0500-000001000000}"/>
    <hyperlink ref="C10" r:id="rId3" xr:uid="{69F71DE4-21DA-4DD2-9DBE-35746BD58435}"/>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6" workbookViewId="0">
      <selection activeCell="G10" sqref="G10"/>
    </sheetView>
  </sheetViews>
  <sheetFormatPr baseColWidth="10" defaultColWidth="12.5703125" defaultRowHeight="15" customHeight="1"/>
  <cols>
    <col min="1" max="3" width="19.140625" customWidth="1"/>
    <col min="4" max="4" width="21.85546875" customWidth="1"/>
    <col min="5" max="6" width="17" customWidth="1"/>
    <col min="7" max="7" width="21" customWidth="1"/>
    <col min="8" max="8" width="17" customWidth="1"/>
    <col min="9" max="10" width="19.140625" customWidth="1"/>
    <col min="11" max="26" width="10" customWidth="1"/>
  </cols>
  <sheetData>
    <row r="1" spans="1:26" ht="12.75" customHeight="1">
      <c r="A1" s="1"/>
    </row>
    <row r="2" spans="1:26" ht="27.75" customHeight="1">
      <c r="D2" s="119" t="s">
        <v>0</v>
      </c>
      <c r="E2" s="120"/>
      <c r="F2" s="120"/>
      <c r="G2" s="120"/>
      <c r="H2" s="120"/>
    </row>
    <row r="3" spans="1:26" ht="12.75" customHeight="1"/>
    <row r="4" spans="1:26" ht="12.75" customHeight="1"/>
    <row r="5" spans="1:26" ht="43.5" customHeight="1">
      <c r="A5" s="121" t="s">
        <v>1</v>
      </c>
      <c r="B5" s="122"/>
      <c r="C5" s="122"/>
      <c r="D5" s="122"/>
      <c r="E5" s="122"/>
      <c r="F5" s="122"/>
      <c r="G5" s="122"/>
      <c r="H5" s="122"/>
      <c r="I5" s="122"/>
      <c r="J5" s="123"/>
    </row>
    <row r="6" spans="1:26" ht="15.75" customHeight="1"/>
    <row r="7" spans="1:26" ht="75.75" customHeight="1">
      <c r="A7" s="2" t="s">
        <v>2</v>
      </c>
      <c r="B7" s="3" t="s">
        <v>89</v>
      </c>
      <c r="C7" s="3" t="s">
        <v>90</v>
      </c>
      <c r="D7" s="3" t="s">
        <v>91</v>
      </c>
      <c r="E7" s="5" t="s">
        <v>92</v>
      </c>
      <c r="F7" s="56" t="s">
        <v>93</v>
      </c>
      <c r="G7" s="57" t="s">
        <v>94</v>
      </c>
      <c r="H7" s="8" t="s">
        <v>9</v>
      </c>
      <c r="I7" s="3" t="s">
        <v>95</v>
      </c>
      <c r="J7" s="3" t="s">
        <v>96</v>
      </c>
      <c r="K7" s="9"/>
      <c r="L7" s="9"/>
      <c r="M7" s="9"/>
      <c r="N7" s="9"/>
      <c r="O7" s="9"/>
      <c r="P7" s="9"/>
      <c r="Q7" s="9"/>
      <c r="R7" s="9"/>
      <c r="S7" s="9"/>
      <c r="T7" s="9"/>
      <c r="U7" s="9"/>
      <c r="V7" s="9"/>
      <c r="W7" s="9"/>
      <c r="X7" s="9"/>
      <c r="Y7" s="9"/>
      <c r="Z7" s="9"/>
    </row>
    <row r="8" spans="1:26" ht="50.25" customHeight="1">
      <c r="A8" s="10" t="s">
        <v>38</v>
      </c>
      <c r="B8" s="3" t="s">
        <v>233</v>
      </c>
      <c r="C8" s="90" t="s">
        <v>234</v>
      </c>
      <c r="D8" s="59" t="s">
        <v>232</v>
      </c>
      <c r="E8" s="95">
        <v>169900</v>
      </c>
      <c r="F8" s="61">
        <f>E8*19%</f>
        <v>32281</v>
      </c>
      <c r="G8" s="85">
        <f>E8/44540</f>
        <v>3.8145487202514592</v>
      </c>
      <c r="H8" s="87">
        <f>F8/G8</f>
        <v>8462.6</v>
      </c>
      <c r="I8" s="63" t="s">
        <v>40</v>
      </c>
      <c r="J8" s="64" t="s">
        <v>97</v>
      </c>
    </row>
    <row r="9" spans="1:26" ht="50.25" customHeight="1">
      <c r="A9" s="10" t="s">
        <v>14</v>
      </c>
      <c r="B9" s="3" t="s">
        <v>86</v>
      </c>
      <c r="C9" s="90" t="s">
        <v>235</v>
      </c>
      <c r="D9" s="96" t="s">
        <v>238</v>
      </c>
      <c r="E9" s="94">
        <v>649900</v>
      </c>
      <c r="F9" s="61">
        <f>E9*19%</f>
        <v>123481</v>
      </c>
      <c r="G9" s="85">
        <f t="shared" ref="G9:G10" si="0">E9/44540</f>
        <v>14.591378536147284</v>
      </c>
      <c r="H9" s="87">
        <f t="shared" ref="H9:H10" si="1">F9/G9</f>
        <v>8462.6</v>
      </c>
      <c r="I9" s="63" t="s">
        <v>40</v>
      </c>
      <c r="J9" s="64" t="s">
        <v>97</v>
      </c>
    </row>
    <row r="10" spans="1:26" ht="50.25" customHeight="1">
      <c r="A10" s="10" t="s">
        <v>16</v>
      </c>
      <c r="B10" s="3" t="s">
        <v>98</v>
      </c>
      <c r="C10" s="90" t="s">
        <v>236</v>
      </c>
      <c r="D10" s="59" t="s">
        <v>237</v>
      </c>
      <c r="E10" s="94">
        <v>56000</v>
      </c>
      <c r="F10" s="61">
        <f>E10*19%</f>
        <v>10640</v>
      </c>
      <c r="G10" s="85">
        <f t="shared" si="0"/>
        <v>1.2572968118545127</v>
      </c>
      <c r="H10" s="87">
        <f t="shared" si="1"/>
        <v>8462.6</v>
      </c>
      <c r="I10" s="63" t="s">
        <v>40</v>
      </c>
      <c r="J10" s="65" t="s">
        <v>99</v>
      </c>
    </row>
    <row r="11" spans="1:26" ht="15" hidden="1" customHeight="1">
      <c r="J11" s="66"/>
    </row>
    <row r="12" spans="1:26" ht="36.75" customHeight="1">
      <c r="J12" s="66"/>
    </row>
    <row r="13" spans="1:26" ht="47.25" customHeight="1">
      <c r="J13" s="66"/>
    </row>
    <row r="14" spans="1:26" ht="76.5" customHeight="1">
      <c r="J14" s="66"/>
    </row>
    <row r="15" spans="1:26" ht="59.25" customHeight="1">
      <c r="J15" s="67"/>
    </row>
    <row r="16" spans="1:26" ht="51" customHeight="1">
      <c r="J16" s="66"/>
    </row>
    <row r="17" spans="10:10" ht="39.75" customHeight="1">
      <c r="J17" s="66"/>
    </row>
    <row r="18" spans="10:10" ht="52.5" customHeight="1">
      <c r="J18" s="66"/>
    </row>
    <row r="19" spans="10:10" ht="12.75" customHeight="1">
      <c r="J19" s="66"/>
    </row>
    <row r="20" spans="10:10" ht="12.75" customHeight="1">
      <c r="J20" s="67"/>
    </row>
    <row r="21" spans="10:10" ht="12.75" customHeight="1">
      <c r="J21" s="66"/>
    </row>
    <row r="22" spans="10:10" ht="12.75" customHeight="1">
      <c r="J22" s="66"/>
    </row>
    <row r="23" spans="10:10" ht="12.75" customHeight="1">
      <c r="J23" s="66"/>
    </row>
    <row r="24" spans="10:10" ht="12.75" customHeight="1">
      <c r="J24" s="66"/>
    </row>
    <row r="25" spans="10:10" ht="12.75" customHeight="1"/>
    <row r="26" spans="10:10" ht="12.75" customHeight="1"/>
    <row r="27" spans="10:10" ht="12.75" customHeight="1"/>
    <row r="28" spans="10:10" ht="12.75" customHeight="1"/>
    <row r="29" spans="10:10" ht="12.75" customHeight="1"/>
    <row r="30" spans="10:10" ht="12.75" customHeight="1"/>
    <row r="31" spans="10:10" ht="12.75" customHeight="1"/>
    <row r="32" spans="10: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H2"/>
    <mergeCell ref="A5:J5"/>
  </mergeCells>
  <phoneticPr fontId="27" type="noConversion"/>
  <hyperlinks>
    <hyperlink ref="C8" r:id="rId1" xr:uid="{00000000-0004-0000-0600-000000000000}"/>
    <hyperlink ref="C10" r:id="rId2" location="polycard_client=search-nordic-mshops&amp;search_layout=grid&amp;position=2&amp;type=product&amp;tracking_id=a2358c10-2b52-4380-bc39-8140a0e46155&amp;wid=MCO1364140013&amp;sid=search" display="https://www.proveel.com.co/combo-teclado-y-mouse-genius-km-170-usb-negro-windows-1011-sensor-optico-1000-dpi/p/MCO21766205?pdp_filters=seller_id%3A212604010#polycard_client=search-nordic-mshops&amp;search_layout=grid&amp;position=2&amp;type=product&amp;tracking_id=a2358c10-2b52-4380-bc39-8140a0e46155&amp;wid=MCO1364140013&amp;sid=search" xr:uid="{00000000-0004-0000-0600-000002000000}"/>
    <hyperlink ref="C9" r:id="rId3" xr:uid="{00000000-0004-0000-0600-000001000000}"/>
  </hyperlinks>
  <pageMargins left="0.7" right="0.7" top="0.75" bottom="0.75" header="0" footer="0"/>
  <pageSetup orientation="landscape"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6" workbookViewId="0">
      <selection activeCell="C13" sqref="C13"/>
    </sheetView>
  </sheetViews>
  <sheetFormatPr baseColWidth="10" defaultColWidth="12.5703125" defaultRowHeight="15" customHeight="1"/>
  <cols>
    <col min="1" max="1" width="19.140625" customWidth="1"/>
    <col min="2" max="2" width="30.85546875" customWidth="1"/>
    <col min="3" max="3" width="19.140625" customWidth="1"/>
    <col min="4" max="4" width="21.85546875" customWidth="1"/>
    <col min="5" max="6" width="17" customWidth="1"/>
    <col min="7" max="7" width="21" customWidth="1"/>
    <col min="8" max="8" width="17" customWidth="1"/>
    <col min="9" max="10" width="19.140625" customWidth="1"/>
    <col min="11" max="26" width="10" customWidth="1"/>
  </cols>
  <sheetData>
    <row r="1" spans="1:26" ht="12.75" customHeight="1">
      <c r="A1" s="1"/>
    </row>
    <row r="2" spans="1:26" ht="27.75" customHeight="1">
      <c r="D2" s="119" t="s">
        <v>0</v>
      </c>
      <c r="E2" s="120"/>
      <c r="F2" s="120"/>
      <c r="G2" s="120"/>
      <c r="H2" s="120"/>
    </row>
    <row r="3" spans="1:26" ht="12.75" customHeight="1"/>
    <row r="4" spans="1:26" ht="12.75" customHeight="1"/>
    <row r="5" spans="1:26" ht="43.5" customHeight="1">
      <c r="A5" s="121" t="s">
        <v>1</v>
      </c>
      <c r="B5" s="122"/>
      <c r="C5" s="122"/>
      <c r="D5" s="122"/>
      <c r="E5" s="122"/>
      <c r="F5" s="122"/>
      <c r="G5" s="122"/>
      <c r="H5" s="122"/>
      <c r="I5" s="122"/>
      <c r="J5" s="123"/>
    </row>
    <row r="6" spans="1:26" ht="15.75" customHeight="1"/>
    <row r="7" spans="1:26" ht="75.75" customHeight="1">
      <c r="A7" s="2" t="s">
        <v>2</v>
      </c>
      <c r="B7" s="3" t="s">
        <v>100</v>
      </c>
      <c r="C7" s="3" t="s">
        <v>101</v>
      </c>
      <c r="D7" s="3" t="s">
        <v>102</v>
      </c>
      <c r="E7" s="68" t="s">
        <v>103</v>
      </c>
      <c r="F7" s="56" t="s">
        <v>104</v>
      </c>
      <c r="G7" s="57" t="s">
        <v>105</v>
      </c>
      <c r="H7" s="8" t="s">
        <v>9</v>
      </c>
      <c r="I7" s="3" t="s">
        <v>106</v>
      </c>
      <c r="J7" s="3" t="s">
        <v>107</v>
      </c>
      <c r="K7" s="9"/>
      <c r="L7" s="9"/>
      <c r="M7" s="9"/>
      <c r="N7" s="9"/>
      <c r="O7" s="9"/>
      <c r="P7" s="9"/>
      <c r="Q7" s="9"/>
      <c r="R7" s="9"/>
      <c r="S7" s="9"/>
      <c r="T7" s="9"/>
      <c r="U7" s="9"/>
      <c r="V7" s="9"/>
      <c r="W7" s="9"/>
      <c r="X7" s="9"/>
      <c r="Y7" s="9"/>
      <c r="Z7" s="9"/>
    </row>
    <row r="8" spans="1:26" ht="50.25" customHeight="1">
      <c r="A8" s="10" t="s">
        <v>38</v>
      </c>
      <c r="B8" s="99" t="s">
        <v>240</v>
      </c>
      <c r="C8" s="90" t="s">
        <v>239</v>
      </c>
      <c r="D8" s="97" t="s">
        <v>108</v>
      </c>
      <c r="E8" s="98">
        <v>24900</v>
      </c>
      <c r="F8" s="73">
        <f>E8*19%</f>
        <v>4731</v>
      </c>
      <c r="G8" s="91">
        <f>E8/44540</f>
        <v>0.55904804669959585</v>
      </c>
      <c r="H8" s="87">
        <f>F8/G8</f>
        <v>8462.6</v>
      </c>
      <c r="I8" s="72" t="s">
        <v>13</v>
      </c>
      <c r="J8" s="74" t="s">
        <v>109</v>
      </c>
    </row>
    <row r="9" spans="1:26" ht="50.25" customHeight="1">
      <c r="A9" s="10" t="s">
        <v>14</v>
      </c>
      <c r="B9" s="101" t="s">
        <v>241</v>
      </c>
      <c r="C9" s="58" t="s">
        <v>242</v>
      </c>
      <c r="D9" s="97" t="s">
        <v>108</v>
      </c>
      <c r="E9" s="100">
        <v>56500</v>
      </c>
      <c r="F9" s="75">
        <f>E9*19%</f>
        <v>10735</v>
      </c>
      <c r="G9" s="91">
        <f t="shared" ref="G9:G10" si="0">E9/44540</f>
        <v>1.2685226762460708</v>
      </c>
      <c r="H9" s="87">
        <f t="shared" ref="H9:H10" si="1">F9/G9</f>
        <v>8462.6</v>
      </c>
      <c r="I9" s="72" t="s">
        <v>13</v>
      </c>
      <c r="J9" s="22" t="s">
        <v>110</v>
      </c>
    </row>
    <row r="10" spans="1:26" ht="50.25" customHeight="1">
      <c r="A10" s="10" t="s">
        <v>16</v>
      </c>
      <c r="B10" s="11" t="s">
        <v>111</v>
      </c>
      <c r="C10" s="58" t="s">
        <v>112</v>
      </c>
      <c r="D10" s="97" t="s">
        <v>243</v>
      </c>
      <c r="E10" s="102">
        <v>4900</v>
      </c>
      <c r="F10" s="75">
        <f>E10*19%</f>
        <v>931</v>
      </c>
      <c r="G10" s="91">
        <f t="shared" si="0"/>
        <v>0.11001347103726987</v>
      </c>
      <c r="H10" s="87">
        <f t="shared" si="1"/>
        <v>8462.6</v>
      </c>
      <c r="I10" s="76" t="s">
        <v>13</v>
      </c>
      <c r="J10" s="65" t="s">
        <v>113</v>
      </c>
    </row>
    <row r="11" spans="1:26" ht="15" hidden="1" customHeight="1">
      <c r="J11" s="66"/>
    </row>
    <row r="12" spans="1:26" ht="36.75" customHeight="1">
      <c r="J12" s="66"/>
    </row>
    <row r="13" spans="1:26" ht="47.25" customHeight="1">
      <c r="J13" s="66"/>
    </row>
    <row r="14" spans="1:26" ht="76.5" customHeight="1">
      <c r="J14" s="66"/>
    </row>
    <row r="15" spans="1:26" ht="59.25" customHeight="1">
      <c r="J15" s="67"/>
    </row>
    <row r="16" spans="1:26" ht="51" customHeight="1">
      <c r="J16" s="66"/>
    </row>
    <row r="17" spans="10:10" ht="39.75" customHeight="1">
      <c r="J17" s="66"/>
    </row>
    <row r="18" spans="10:10" ht="52.5" customHeight="1">
      <c r="J18" s="66"/>
    </row>
    <row r="19" spans="10:10" ht="12.75" customHeight="1">
      <c r="J19" s="66"/>
    </row>
    <row r="20" spans="10:10" ht="12.75" customHeight="1">
      <c r="J20" s="67"/>
    </row>
    <row r="21" spans="10:10" ht="12.75" customHeight="1">
      <c r="J21" s="66"/>
    </row>
    <row r="22" spans="10:10" ht="12.75" customHeight="1">
      <c r="J22" s="66"/>
    </row>
    <row r="23" spans="10:10" ht="12.75" customHeight="1">
      <c r="J23" s="66"/>
    </row>
    <row r="24" spans="10:10" ht="12.75" customHeight="1">
      <c r="J24" s="66"/>
    </row>
    <row r="25" spans="10:10" ht="12.75" customHeight="1"/>
    <row r="26" spans="10:10" ht="12.75" customHeight="1"/>
    <row r="27" spans="10:10" ht="12.75" customHeight="1"/>
    <row r="28" spans="10:10" ht="12.75" customHeight="1"/>
    <row r="29" spans="10:10" ht="12.75" customHeight="1"/>
    <row r="30" spans="10:10" ht="12.75" customHeight="1"/>
    <row r="31" spans="10:10" ht="12.75" customHeight="1"/>
    <row r="32" spans="10: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H2"/>
    <mergeCell ref="A5:J5"/>
  </mergeCells>
  <hyperlinks>
    <hyperlink ref="C10" r:id="rId1" xr:uid="{00000000-0004-0000-0700-000002000000}"/>
    <hyperlink ref="C8" r:id="rId2" display="https://www.hostinger.com/co/comprar-dominio?utm_campaign=Generic-Domains|NT:Se|LO:CO&amp;utm_medium=ppc&amp;gad_source=1&amp;gad_campaignid=10835301752&amp;gbraid=0AAAAADMy-hYplBc8uWve4WpQxMDZGK0WF&amp;gclid=Cj0KCQiAubrJBhCbARIsAHIdxD_mKMJildEbHPvdrOPYpppgazqFARVIQ2UqCsDTvju07UZIOhHqdPgaArj9EALw_wcB" xr:uid="{0476A975-20D6-4C4F-AF54-3FB2DF913C46}"/>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6" workbookViewId="0">
      <selection activeCell="G8" sqref="G8:H10"/>
    </sheetView>
  </sheetViews>
  <sheetFormatPr baseColWidth="10" defaultColWidth="12.5703125" defaultRowHeight="15" customHeight="1"/>
  <cols>
    <col min="1" max="3" width="19.140625" customWidth="1"/>
    <col min="4" max="4" width="21.85546875" customWidth="1"/>
    <col min="5" max="6" width="17" customWidth="1"/>
    <col min="7" max="7" width="21" customWidth="1"/>
    <col min="8" max="8" width="17" customWidth="1"/>
    <col min="9" max="10" width="19.140625" customWidth="1"/>
    <col min="11" max="26" width="10" customWidth="1"/>
  </cols>
  <sheetData>
    <row r="1" spans="1:26" ht="12.75" customHeight="1">
      <c r="A1" s="1"/>
    </row>
    <row r="2" spans="1:26" ht="27.75" customHeight="1">
      <c r="D2" s="119" t="s">
        <v>0</v>
      </c>
      <c r="E2" s="120"/>
      <c r="F2" s="120"/>
      <c r="G2" s="120"/>
      <c r="H2" s="120"/>
    </row>
    <row r="3" spans="1:26" ht="12.75" customHeight="1"/>
    <row r="4" spans="1:26" ht="12.75" customHeight="1"/>
    <row r="5" spans="1:26" ht="43.5" customHeight="1">
      <c r="A5" s="121" t="s">
        <v>1</v>
      </c>
      <c r="B5" s="122"/>
      <c r="C5" s="122"/>
      <c r="D5" s="122"/>
      <c r="E5" s="122"/>
      <c r="F5" s="122"/>
      <c r="G5" s="122"/>
      <c r="H5" s="122"/>
      <c r="I5" s="122"/>
      <c r="J5" s="123"/>
    </row>
    <row r="6" spans="1:26" ht="15.75" customHeight="1"/>
    <row r="7" spans="1:26" ht="75.75" customHeight="1">
      <c r="A7" s="2" t="s">
        <v>2</v>
      </c>
      <c r="B7" s="3" t="s">
        <v>114</v>
      </c>
      <c r="C7" s="3" t="s">
        <v>115</v>
      </c>
      <c r="D7" s="3" t="s">
        <v>116</v>
      </c>
      <c r="E7" s="68" t="s">
        <v>117</v>
      </c>
      <c r="F7" s="56" t="s">
        <v>118</v>
      </c>
      <c r="G7" s="57" t="s">
        <v>119</v>
      </c>
      <c r="H7" s="8" t="s">
        <v>9</v>
      </c>
      <c r="I7" s="3" t="s">
        <v>120</v>
      </c>
      <c r="J7" s="3" t="s">
        <v>121</v>
      </c>
      <c r="K7" s="9"/>
      <c r="L7" s="9"/>
      <c r="M7" s="9"/>
      <c r="N7" s="9"/>
      <c r="O7" s="9"/>
      <c r="P7" s="9"/>
      <c r="Q7" s="9"/>
      <c r="R7" s="9"/>
      <c r="S7" s="9"/>
      <c r="T7" s="9"/>
      <c r="U7" s="9"/>
      <c r="V7" s="9"/>
      <c r="W7" s="9"/>
      <c r="X7" s="9"/>
      <c r="Y7" s="9"/>
      <c r="Z7" s="9"/>
    </row>
    <row r="8" spans="1:26" ht="50.25" customHeight="1">
      <c r="A8" s="10" t="s">
        <v>38</v>
      </c>
      <c r="B8" s="104" t="s">
        <v>245</v>
      </c>
      <c r="C8" s="90" t="s">
        <v>244</v>
      </c>
      <c r="D8" s="63" t="s">
        <v>122</v>
      </c>
      <c r="E8" s="103">
        <v>29999</v>
      </c>
      <c r="F8" s="77">
        <f>E8*19%</f>
        <v>5699.81</v>
      </c>
      <c r="G8" s="132">
        <f>E8/44540</f>
        <v>0.67352941176470593</v>
      </c>
      <c r="H8" s="87">
        <f>F8/G8</f>
        <v>8462.6</v>
      </c>
      <c r="I8" s="75" t="s">
        <v>123</v>
      </c>
      <c r="J8" s="78" t="s">
        <v>124</v>
      </c>
    </row>
    <row r="9" spans="1:26" ht="50.25" customHeight="1">
      <c r="A9" s="10" t="s">
        <v>14</v>
      </c>
      <c r="B9" s="11" t="s">
        <v>125</v>
      </c>
      <c r="C9" s="58" t="s">
        <v>126</v>
      </c>
      <c r="D9" s="63" t="s">
        <v>122</v>
      </c>
      <c r="E9" s="105">
        <v>1150</v>
      </c>
      <c r="F9" s="77">
        <f>E9*19%</f>
        <v>218.5</v>
      </c>
      <c r="G9" s="132">
        <f t="shared" ref="G9:G10" si="0">E9/44540</f>
        <v>2.5819488100583744E-2</v>
      </c>
      <c r="H9" s="87">
        <f t="shared" ref="H9:H10" si="1">F9/G9</f>
        <v>8462.6</v>
      </c>
      <c r="I9" s="75" t="s">
        <v>123</v>
      </c>
      <c r="J9" s="22" t="s">
        <v>127</v>
      </c>
    </row>
    <row r="10" spans="1:26" ht="50.25" customHeight="1">
      <c r="A10" s="10" t="s">
        <v>16</v>
      </c>
      <c r="B10" s="101" t="s">
        <v>128</v>
      </c>
      <c r="C10" s="58" t="s">
        <v>129</v>
      </c>
      <c r="D10" s="63" t="s">
        <v>122</v>
      </c>
      <c r="E10" s="83">
        <v>39318110</v>
      </c>
      <c r="F10" s="106">
        <f>E10*19%</f>
        <v>7470440.9000000004</v>
      </c>
      <c r="G10" s="132">
        <f t="shared" si="0"/>
        <v>882.75954198473278</v>
      </c>
      <c r="H10" s="87">
        <f t="shared" si="1"/>
        <v>8462.6</v>
      </c>
      <c r="I10" s="75" t="s">
        <v>123</v>
      </c>
      <c r="J10" s="65" t="s">
        <v>130</v>
      </c>
    </row>
    <row r="11" spans="1:26" ht="15" hidden="1" customHeight="1">
      <c r="D11" s="63" t="s">
        <v>122</v>
      </c>
      <c r="I11" s="63" t="s">
        <v>13</v>
      </c>
      <c r="J11" s="66" t="s">
        <v>131</v>
      </c>
    </row>
    <row r="12" spans="1:26" ht="36.75" customHeight="1">
      <c r="J12" s="66"/>
    </row>
    <row r="13" spans="1:26" ht="47.25" customHeight="1">
      <c r="J13" s="66"/>
    </row>
    <row r="14" spans="1:26" ht="76.5" customHeight="1">
      <c r="J14" s="66"/>
    </row>
    <row r="15" spans="1:26" ht="59.25" customHeight="1">
      <c r="J15" s="67"/>
    </row>
    <row r="16" spans="1:26" ht="51" customHeight="1">
      <c r="J16" s="66"/>
    </row>
    <row r="17" spans="10:10" ht="39.75" customHeight="1">
      <c r="J17" s="66"/>
    </row>
    <row r="18" spans="10:10" ht="52.5" customHeight="1">
      <c r="J18" s="66"/>
    </row>
    <row r="19" spans="10:10" ht="12.75" customHeight="1">
      <c r="J19" s="66"/>
    </row>
    <row r="20" spans="10:10" ht="12.75" customHeight="1">
      <c r="J20" s="67"/>
    </row>
    <row r="21" spans="10:10" ht="12.75" customHeight="1">
      <c r="J21" s="66"/>
    </row>
    <row r="22" spans="10:10" ht="12.75" customHeight="1">
      <c r="J22" s="66"/>
    </row>
    <row r="23" spans="10:10" ht="12.75" customHeight="1">
      <c r="J23" s="66"/>
    </row>
    <row r="24" spans="10:10" ht="12.75" customHeight="1">
      <c r="J24" s="66"/>
    </row>
    <row r="25" spans="10:10" ht="12.75" customHeight="1"/>
    <row r="26" spans="10:10" ht="12.75" customHeight="1"/>
    <row r="27" spans="10:10" ht="12.75" customHeight="1"/>
    <row r="28" spans="10:10" ht="12.75" customHeight="1"/>
    <row r="29" spans="10:10" ht="12.75" customHeight="1"/>
    <row r="30" spans="10:10" ht="12.75" customHeight="1"/>
    <row r="31" spans="10:10" ht="12.75" customHeight="1"/>
    <row r="32" spans="10: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H2"/>
    <mergeCell ref="A5:J5"/>
  </mergeCells>
  <hyperlinks>
    <hyperlink ref="C8" r:id="rId1" display="https://www.godaddy.com/es/offers/email/professional-email?isc=coemlgon1&amp;marketid=es-CO&amp;currencyType=COP&amp;cdtl=c_17814084449.g_159845483920.k_kwd-297598318743.a_738793420782.d_c.ctv_g&amp;bnb=nb&amp;gad_source=1&amp;gad_campaignid=17814084449&amp;gbraid=0AAAAAD_AGdwv09D4XDeBvAoGCfFB3RkGw&amp;gclid=Cj0KCQiAubrJBhCbARIsAHIdxD__6oLJUMlq3XKQukhts6SRU7cptQyeUS-H7Vl0e7hONoR-P6m4qjcaAjWDEALw_wcB" xr:uid="{00000000-0004-0000-0800-000000000000}"/>
    <hyperlink ref="C9" r:id="rId2" xr:uid="{00000000-0004-0000-0800-000001000000}"/>
    <hyperlink ref="C10" r:id="rId3" xr:uid="{00000000-0004-0000-0800-000002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A6" workbookViewId="0">
      <selection activeCell="H13" sqref="H13"/>
    </sheetView>
  </sheetViews>
  <sheetFormatPr baseColWidth="10" defaultColWidth="12.5703125" defaultRowHeight="15" customHeight="1"/>
  <cols>
    <col min="1" max="3" width="19.140625" customWidth="1"/>
    <col min="4" max="4" width="21.85546875" customWidth="1"/>
    <col min="5" max="6" width="17" customWidth="1"/>
    <col min="7" max="7" width="21" customWidth="1"/>
    <col min="8" max="8" width="17" customWidth="1"/>
    <col min="9" max="10" width="19.140625" customWidth="1"/>
    <col min="11" max="26" width="10" customWidth="1"/>
  </cols>
  <sheetData>
    <row r="1" spans="1:26" ht="12.75" customHeight="1">
      <c r="A1" s="1"/>
    </row>
    <row r="2" spans="1:26" ht="27.75" customHeight="1">
      <c r="D2" s="119" t="s">
        <v>0</v>
      </c>
      <c r="E2" s="120"/>
      <c r="F2" s="120"/>
      <c r="G2" s="120"/>
      <c r="H2" s="120"/>
    </row>
    <row r="3" spans="1:26" ht="12.75" customHeight="1"/>
    <row r="4" spans="1:26" ht="12.75" customHeight="1"/>
    <row r="5" spans="1:26" ht="43.5" customHeight="1">
      <c r="A5" s="121" t="s">
        <v>1</v>
      </c>
      <c r="B5" s="122"/>
      <c r="C5" s="122"/>
      <c r="D5" s="122"/>
      <c r="E5" s="122"/>
      <c r="F5" s="122"/>
      <c r="G5" s="122"/>
      <c r="H5" s="122"/>
      <c r="I5" s="122"/>
      <c r="J5" s="123"/>
    </row>
    <row r="6" spans="1:26" ht="15.75" customHeight="1"/>
    <row r="7" spans="1:26" ht="75.75" customHeight="1">
      <c r="A7" s="2" t="s">
        <v>2</v>
      </c>
      <c r="B7" s="3" t="s">
        <v>132</v>
      </c>
      <c r="C7" s="3" t="s">
        <v>133</v>
      </c>
      <c r="D7" s="3" t="s">
        <v>134</v>
      </c>
      <c r="E7" s="68" t="s">
        <v>135</v>
      </c>
      <c r="F7" s="56" t="s">
        <v>136</v>
      </c>
      <c r="G7" s="57" t="s">
        <v>137</v>
      </c>
      <c r="H7" s="8" t="s">
        <v>9</v>
      </c>
      <c r="I7" s="3" t="s">
        <v>138</v>
      </c>
      <c r="J7" s="3" t="s">
        <v>139</v>
      </c>
      <c r="K7" s="9"/>
      <c r="L7" s="9"/>
      <c r="M7" s="9"/>
      <c r="N7" s="9"/>
      <c r="O7" s="9"/>
      <c r="P7" s="9"/>
      <c r="Q7" s="9"/>
      <c r="R7" s="9"/>
      <c r="S7" s="9"/>
      <c r="T7" s="9"/>
      <c r="U7" s="9"/>
      <c r="V7" s="9"/>
      <c r="W7" s="9"/>
      <c r="X7" s="9"/>
      <c r="Y7" s="9"/>
      <c r="Z7" s="9"/>
    </row>
    <row r="8" spans="1:26" ht="50.25" customHeight="1">
      <c r="A8" s="10" t="s">
        <v>38</v>
      </c>
      <c r="B8" s="3" t="s">
        <v>140</v>
      </c>
      <c r="C8" s="58" t="s">
        <v>141</v>
      </c>
      <c r="D8" s="63" t="s">
        <v>142</v>
      </c>
      <c r="E8" s="107">
        <v>690</v>
      </c>
      <c r="F8" s="62">
        <f>E8*19%</f>
        <v>131.1</v>
      </c>
      <c r="G8" s="132">
        <f>E8/44540</f>
        <v>1.5491692860350247E-2</v>
      </c>
      <c r="H8" s="87">
        <f>F8/G8</f>
        <v>8462.6</v>
      </c>
      <c r="I8" s="63" t="s">
        <v>123</v>
      </c>
      <c r="J8" s="64" t="s">
        <v>143</v>
      </c>
    </row>
    <row r="9" spans="1:26" ht="50.25" customHeight="1">
      <c r="A9" s="10" t="s">
        <v>14</v>
      </c>
      <c r="B9" s="23" t="s">
        <v>144</v>
      </c>
      <c r="C9" s="58" t="s">
        <v>145</v>
      </c>
      <c r="D9" s="63" t="s">
        <v>142</v>
      </c>
      <c r="E9" s="107">
        <v>789</v>
      </c>
      <c r="F9" s="62">
        <f>E9*19%</f>
        <v>149.91</v>
      </c>
      <c r="G9" s="132">
        <f t="shared" ref="G9:G10" si="0">E9/44540</f>
        <v>1.7714414009878762E-2</v>
      </c>
      <c r="H9" s="87">
        <f t="shared" ref="H9:H10" si="1">F9/G9</f>
        <v>8462.5999999999985</v>
      </c>
      <c r="I9" s="63" t="s">
        <v>123</v>
      </c>
      <c r="J9" s="22" t="s">
        <v>146</v>
      </c>
    </row>
    <row r="10" spans="1:26" ht="50.25" customHeight="1">
      <c r="A10" s="10" t="s">
        <v>16</v>
      </c>
      <c r="B10" s="11" t="s">
        <v>147</v>
      </c>
      <c r="C10" s="58" t="s">
        <v>148</v>
      </c>
      <c r="D10" s="63" t="s">
        <v>142</v>
      </c>
      <c r="E10" s="107">
        <v>550</v>
      </c>
      <c r="F10" s="62">
        <f>E10*19%</f>
        <v>104.5</v>
      </c>
      <c r="G10" s="132">
        <f t="shared" si="0"/>
        <v>1.2348450830713965E-2</v>
      </c>
      <c r="H10" s="87">
        <f t="shared" si="1"/>
        <v>8462.6</v>
      </c>
      <c r="I10" s="63" t="s">
        <v>123</v>
      </c>
      <c r="J10" s="65" t="s">
        <v>149</v>
      </c>
    </row>
    <row r="11" spans="1:26" ht="15" hidden="1" customHeight="1">
      <c r="E11" s="79">
        <f>55900/1.19</f>
        <v>46974.789915966387</v>
      </c>
      <c r="J11" s="66" t="s">
        <v>131</v>
      </c>
    </row>
    <row r="12" spans="1:26" ht="36.75" customHeight="1">
      <c r="J12" s="66"/>
    </row>
    <row r="13" spans="1:26" ht="47.25" customHeight="1">
      <c r="J13" s="66"/>
    </row>
    <row r="14" spans="1:26" ht="76.5" customHeight="1">
      <c r="J14" s="66"/>
    </row>
    <row r="15" spans="1:26" ht="59.25" customHeight="1">
      <c r="J15" s="67"/>
    </row>
    <row r="16" spans="1:26" ht="51" customHeight="1">
      <c r="J16" s="66"/>
    </row>
    <row r="17" spans="10:10" ht="39.75" customHeight="1">
      <c r="J17" s="66"/>
    </row>
    <row r="18" spans="10:10" ht="52.5" customHeight="1">
      <c r="J18" s="66"/>
    </row>
    <row r="19" spans="10:10" ht="12.75" customHeight="1">
      <c r="J19" s="66"/>
    </row>
    <row r="20" spans="10:10" ht="12.75" customHeight="1">
      <c r="J20" s="67"/>
    </row>
    <row r="21" spans="10:10" ht="12.75" customHeight="1">
      <c r="J21" s="66"/>
    </row>
    <row r="22" spans="10:10" ht="12.75" customHeight="1">
      <c r="J22" s="66"/>
    </row>
    <row r="23" spans="10:10" ht="12.75" customHeight="1">
      <c r="J23" s="66"/>
    </row>
    <row r="24" spans="10:10" ht="12.75" customHeight="1">
      <c r="J24" s="66"/>
    </row>
    <row r="25" spans="10:10" ht="12.75" customHeight="1"/>
    <row r="26" spans="10:10" ht="12.75" customHeight="1"/>
    <row r="27" spans="10:10" ht="12.75" customHeight="1"/>
    <row r="28" spans="10:10" ht="12.75" customHeight="1"/>
    <row r="29" spans="10:10" ht="12.75" customHeight="1"/>
    <row r="30" spans="10:10" ht="12.75" customHeight="1"/>
    <row r="31" spans="10:10" ht="12.75" customHeight="1"/>
    <row r="32" spans="10: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H2"/>
    <mergeCell ref="A5:J5"/>
  </mergeCells>
  <hyperlinks>
    <hyperlink ref="C8" r:id="rId1" xr:uid="{00000000-0004-0000-0900-000000000000}"/>
    <hyperlink ref="C9" r:id="rId2" xr:uid="{00000000-0004-0000-0900-000001000000}"/>
    <hyperlink ref="C10" r:id="rId3" xr:uid="{00000000-0004-0000-0900-000002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C6" workbookViewId="0">
      <selection activeCell="G8" sqref="G8"/>
    </sheetView>
  </sheetViews>
  <sheetFormatPr baseColWidth="10" defaultColWidth="12.5703125" defaultRowHeight="15" customHeight="1"/>
  <cols>
    <col min="1" max="3" width="19.140625" customWidth="1"/>
    <col min="4" max="4" width="21.85546875" customWidth="1"/>
    <col min="5" max="6" width="17" customWidth="1"/>
    <col min="7" max="7" width="21" customWidth="1"/>
    <col min="8" max="8" width="17" customWidth="1"/>
    <col min="9" max="10" width="19.140625" customWidth="1"/>
    <col min="11" max="26" width="10" customWidth="1"/>
  </cols>
  <sheetData>
    <row r="1" spans="1:26" ht="12.75" customHeight="1">
      <c r="A1" s="1"/>
    </row>
    <row r="2" spans="1:26" ht="27.75" customHeight="1">
      <c r="D2" s="119" t="s">
        <v>0</v>
      </c>
      <c r="E2" s="120"/>
      <c r="F2" s="120"/>
      <c r="G2" s="120"/>
      <c r="H2" s="120"/>
    </row>
    <row r="3" spans="1:26" ht="12.75" customHeight="1"/>
    <row r="4" spans="1:26" ht="12.75" customHeight="1"/>
    <row r="5" spans="1:26" ht="43.5" customHeight="1">
      <c r="A5" s="121" t="s">
        <v>1</v>
      </c>
      <c r="B5" s="122"/>
      <c r="C5" s="122"/>
      <c r="D5" s="122"/>
      <c r="E5" s="122"/>
      <c r="F5" s="122"/>
      <c r="G5" s="122"/>
      <c r="H5" s="122"/>
      <c r="I5" s="122"/>
      <c r="J5" s="123"/>
    </row>
    <row r="6" spans="1:26" ht="15.75" customHeight="1"/>
    <row r="7" spans="1:26" ht="75.75" customHeight="1">
      <c r="A7" s="2" t="s">
        <v>2</v>
      </c>
      <c r="B7" s="3" t="s">
        <v>150</v>
      </c>
      <c r="C7" s="3" t="s">
        <v>151</v>
      </c>
      <c r="D7" s="3" t="s">
        <v>152</v>
      </c>
      <c r="E7" s="68" t="s">
        <v>153</v>
      </c>
      <c r="F7" s="56" t="s">
        <v>154</v>
      </c>
      <c r="G7" s="57" t="s">
        <v>155</v>
      </c>
      <c r="H7" s="8" t="s">
        <v>9</v>
      </c>
      <c r="I7" s="3" t="s">
        <v>156</v>
      </c>
      <c r="J7" s="3" t="s">
        <v>157</v>
      </c>
      <c r="K7" s="9"/>
      <c r="L7" s="9"/>
      <c r="M7" s="9"/>
      <c r="N7" s="9"/>
      <c r="O7" s="9"/>
      <c r="P7" s="9"/>
      <c r="Q7" s="9"/>
      <c r="R7" s="9"/>
      <c r="S7" s="9"/>
      <c r="T7" s="9"/>
      <c r="U7" s="9"/>
      <c r="V7" s="9"/>
      <c r="W7" s="9"/>
      <c r="X7" s="9"/>
      <c r="Y7" s="9"/>
      <c r="Z7" s="9"/>
    </row>
    <row r="8" spans="1:26" ht="59.25" customHeight="1">
      <c r="A8" s="10" t="s">
        <v>38</v>
      </c>
      <c r="B8" s="3" t="s">
        <v>158</v>
      </c>
      <c r="C8" s="58" t="s">
        <v>159</v>
      </c>
      <c r="D8" s="63" t="s">
        <v>160</v>
      </c>
      <c r="E8" s="111">
        <v>439</v>
      </c>
      <c r="F8" s="62">
        <f>E8*19%</f>
        <v>83.41</v>
      </c>
      <c r="G8" s="132">
        <f>E8/44540</f>
        <v>9.8563089357880558E-3</v>
      </c>
      <c r="H8" s="87">
        <f>F8/G8</f>
        <v>8462.6</v>
      </c>
      <c r="I8" s="63" t="s">
        <v>13</v>
      </c>
      <c r="J8" s="64" t="s">
        <v>161</v>
      </c>
    </row>
    <row r="9" spans="1:26" ht="59.25" customHeight="1">
      <c r="A9" s="10" t="s">
        <v>14</v>
      </c>
      <c r="B9" s="11" t="s">
        <v>162</v>
      </c>
      <c r="C9" s="58" t="s">
        <v>163</v>
      </c>
      <c r="D9" s="63" t="s">
        <v>160</v>
      </c>
      <c r="E9" s="80">
        <v>313200</v>
      </c>
      <c r="F9" s="62">
        <f>E9*19%</f>
        <v>59508</v>
      </c>
      <c r="G9" s="132">
        <f t="shared" ref="G9:G10" si="0">E9/44540</f>
        <v>7.0318814548720248</v>
      </c>
      <c r="H9" s="87">
        <f t="shared" ref="H9:H10" si="1">F9/G9</f>
        <v>8462.6</v>
      </c>
      <c r="I9" s="63" t="s">
        <v>13</v>
      </c>
      <c r="J9" s="22" t="s">
        <v>164</v>
      </c>
    </row>
    <row r="10" spans="1:26" ht="57.75" customHeight="1">
      <c r="A10" s="10" t="s">
        <v>16</v>
      </c>
      <c r="B10" s="23" t="s">
        <v>165</v>
      </c>
      <c r="C10" s="58" t="s">
        <v>166</v>
      </c>
      <c r="D10" s="63" t="s">
        <v>160</v>
      </c>
      <c r="E10" s="25">
        <v>139</v>
      </c>
      <c r="F10" s="62">
        <f>E10*19%</f>
        <v>26.41</v>
      </c>
      <c r="G10" s="132">
        <f t="shared" si="0"/>
        <v>3.1207903008531658E-3</v>
      </c>
      <c r="H10" s="87">
        <f t="shared" si="1"/>
        <v>8462.6</v>
      </c>
      <c r="I10" s="63" t="s">
        <v>13</v>
      </c>
      <c r="J10" s="65" t="s">
        <v>167</v>
      </c>
    </row>
    <row r="11" spans="1:26" ht="15" hidden="1" customHeight="1">
      <c r="D11" s="63" t="s">
        <v>168</v>
      </c>
      <c r="J11" s="66" t="s">
        <v>131</v>
      </c>
    </row>
    <row r="12" spans="1:26" ht="36.75" customHeight="1">
      <c r="J12" s="66"/>
    </row>
    <row r="13" spans="1:26" ht="47.25" customHeight="1">
      <c r="J13" s="66"/>
    </row>
    <row r="14" spans="1:26" ht="76.5" customHeight="1">
      <c r="J14" s="66"/>
    </row>
    <row r="15" spans="1:26" ht="59.25" customHeight="1">
      <c r="J15" s="67"/>
    </row>
    <row r="16" spans="1:26" ht="51" customHeight="1">
      <c r="J16" s="66"/>
    </row>
    <row r="17" spans="10:10" ht="39.75" customHeight="1">
      <c r="J17" s="66"/>
    </row>
    <row r="18" spans="10:10" ht="52.5" customHeight="1">
      <c r="J18" s="66"/>
    </row>
    <row r="19" spans="10:10" ht="12.75" customHeight="1">
      <c r="J19" s="66"/>
    </row>
    <row r="20" spans="10:10" ht="12.75" customHeight="1">
      <c r="J20" s="67"/>
    </row>
    <row r="21" spans="10:10" ht="12.75" customHeight="1">
      <c r="J21" s="66"/>
    </row>
    <row r="22" spans="10:10" ht="12.75" customHeight="1">
      <c r="J22" s="66"/>
    </row>
    <row r="23" spans="10:10" ht="12.75" customHeight="1">
      <c r="J23" s="66"/>
    </row>
    <row r="24" spans="10:10" ht="12.75" customHeight="1">
      <c r="J24" s="66"/>
    </row>
    <row r="25" spans="10:10" ht="12.75" customHeight="1"/>
    <row r="26" spans="10:10" ht="12.75" customHeight="1"/>
    <row r="27" spans="10:10" ht="12.75" customHeight="1"/>
    <row r="28" spans="10:10" ht="12.75" customHeight="1"/>
    <row r="29" spans="10:10" ht="12.75" customHeight="1"/>
    <row r="30" spans="10:10" ht="12.75" customHeight="1"/>
    <row r="31" spans="10:10" ht="12.75" customHeight="1"/>
    <row r="32" spans="10: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H2"/>
    <mergeCell ref="A5:J5"/>
  </mergeCells>
  <hyperlinks>
    <hyperlink ref="C8" r:id="rId1" xr:uid="{00000000-0004-0000-0A00-000000000000}"/>
    <hyperlink ref="C9" r:id="rId2" xr:uid="{00000000-0004-0000-0A00-000001000000}"/>
    <hyperlink ref="C10" r:id="rId3" xr:uid="{00000000-0004-0000-0A00-000002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B6" workbookViewId="0">
      <selection activeCell="H8" sqref="H8"/>
    </sheetView>
  </sheetViews>
  <sheetFormatPr baseColWidth="10" defaultColWidth="12.5703125" defaultRowHeight="15" customHeight="1"/>
  <cols>
    <col min="1" max="3" width="19.140625" customWidth="1"/>
    <col min="4" max="4" width="21.85546875" customWidth="1"/>
    <col min="5" max="5" width="26.7109375" customWidth="1"/>
    <col min="6" max="6" width="17" customWidth="1"/>
    <col min="7" max="7" width="21" customWidth="1"/>
    <col min="8" max="8" width="17" customWidth="1"/>
    <col min="9" max="10" width="19.140625" customWidth="1"/>
    <col min="11" max="26" width="10" customWidth="1"/>
  </cols>
  <sheetData>
    <row r="1" spans="1:26" ht="12.75" customHeight="1">
      <c r="A1" s="1"/>
    </row>
    <row r="2" spans="1:26" ht="27.75" customHeight="1">
      <c r="D2" s="119" t="s">
        <v>0</v>
      </c>
      <c r="E2" s="120"/>
      <c r="F2" s="120"/>
      <c r="G2" s="120"/>
      <c r="H2" s="120"/>
    </row>
    <row r="3" spans="1:26" ht="12.75" customHeight="1"/>
    <row r="4" spans="1:26" ht="12.75" customHeight="1"/>
    <row r="5" spans="1:26" ht="43.5" customHeight="1">
      <c r="A5" s="121" t="s">
        <v>1</v>
      </c>
      <c r="B5" s="122"/>
      <c r="C5" s="122"/>
      <c r="D5" s="122"/>
      <c r="E5" s="122"/>
      <c r="F5" s="122"/>
      <c r="G5" s="122"/>
      <c r="H5" s="122"/>
      <c r="I5" s="122"/>
      <c r="J5" s="123"/>
    </row>
    <row r="6" spans="1:26" ht="15.75" customHeight="1"/>
    <row r="7" spans="1:26" ht="75.75" customHeight="1">
      <c r="A7" s="2" t="s">
        <v>2</v>
      </c>
      <c r="B7" s="3" t="s">
        <v>169</v>
      </c>
      <c r="C7" s="3" t="s">
        <v>170</v>
      </c>
      <c r="D7" s="3" t="s">
        <v>171</v>
      </c>
      <c r="E7" s="68" t="s">
        <v>172</v>
      </c>
      <c r="F7" s="56" t="s">
        <v>173</v>
      </c>
      <c r="G7" s="57" t="s">
        <v>174</v>
      </c>
      <c r="H7" s="8" t="s">
        <v>9</v>
      </c>
      <c r="I7" s="3" t="s">
        <v>175</v>
      </c>
      <c r="J7" s="3" t="s">
        <v>176</v>
      </c>
      <c r="K7" s="9"/>
      <c r="L7" s="9"/>
      <c r="M7" s="9"/>
      <c r="N7" s="9"/>
      <c r="O7" s="9"/>
      <c r="P7" s="9"/>
      <c r="Q7" s="9"/>
      <c r="R7" s="9"/>
      <c r="S7" s="9"/>
      <c r="T7" s="9"/>
      <c r="U7" s="9"/>
      <c r="V7" s="9"/>
      <c r="W7" s="9"/>
      <c r="X7" s="9"/>
      <c r="Y7" s="9"/>
      <c r="Z7" s="9"/>
    </row>
    <row r="8" spans="1:26" ht="50.25" customHeight="1">
      <c r="A8" s="10" t="s">
        <v>38</v>
      </c>
      <c r="B8" s="3" t="s">
        <v>177</v>
      </c>
      <c r="C8" s="90" t="s">
        <v>178</v>
      </c>
      <c r="D8" s="63" t="s">
        <v>179</v>
      </c>
      <c r="E8" s="112">
        <v>313200</v>
      </c>
      <c r="F8" s="113">
        <f>E8*19%</f>
        <v>59508</v>
      </c>
      <c r="G8" s="132">
        <f>E8/44540</f>
        <v>7.0318814548720248</v>
      </c>
      <c r="H8" s="87">
        <f>F8/G8</f>
        <v>8462.6</v>
      </c>
      <c r="I8" s="75" t="s">
        <v>123</v>
      </c>
      <c r="J8" s="64" t="s">
        <v>180</v>
      </c>
    </row>
    <row r="9" spans="1:26" ht="50.25" customHeight="1">
      <c r="A9" s="10" t="s">
        <v>14</v>
      </c>
      <c r="B9" s="11" t="s">
        <v>196</v>
      </c>
      <c r="C9" s="90" t="s">
        <v>247</v>
      </c>
      <c r="D9" s="63" t="s">
        <v>179</v>
      </c>
      <c r="E9" s="62">
        <v>2099099</v>
      </c>
      <c r="F9" s="62">
        <f>E9*19%</f>
        <v>398828.81</v>
      </c>
      <c r="G9" s="132">
        <f t="shared" ref="G9:G10" si="0">E9/44540</f>
        <v>47.128401436910643</v>
      </c>
      <c r="H9" s="87">
        <f t="shared" ref="H9:H10" si="1">F9/G9</f>
        <v>8462.6</v>
      </c>
      <c r="I9" s="75" t="s">
        <v>123</v>
      </c>
      <c r="J9" s="22" t="s">
        <v>181</v>
      </c>
    </row>
    <row r="10" spans="1:26" ht="50.25" customHeight="1">
      <c r="A10" s="10" t="s">
        <v>16</v>
      </c>
      <c r="B10" s="11" t="s">
        <v>182</v>
      </c>
      <c r="C10" s="58" t="s">
        <v>183</v>
      </c>
      <c r="D10" s="63" t="s">
        <v>179</v>
      </c>
      <c r="E10" s="26">
        <v>3207375</v>
      </c>
      <c r="F10" s="114">
        <f>E10*19%</f>
        <v>609401.25</v>
      </c>
      <c r="G10" s="132">
        <f t="shared" si="0"/>
        <v>72.011113605747639</v>
      </c>
      <c r="H10" s="87">
        <f t="shared" si="1"/>
        <v>8462.6</v>
      </c>
      <c r="I10" s="75" t="s">
        <v>123</v>
      </c>
      <c r="J10" s="65" t="s">
        <v>184</v>
      </c>
    </row>
    <row r="11" spans="1:26" ht="15" hidden="1" customHeight="1">
      <c r="D11" s="63" t="s">
        <v>179</v>
      </c>
      <c r="J11" s="66" t="s">
        <v>131</v>
      </c>
    </row>
    <row r="12" spans="1:26" ht="36.75" customHeight="1">
      <c r="J12" s="66"/>
    </row>
    <row r="13" spans="1:26" ht="47.25" customHeight="1">
      <c r="J13" s="66"/>
    </row>
    <row r="14" spans="1:26" ht="76.5" customHeight="1">
      <c r="J14" s="66"/>
    </row>
    <row r="15" spans="1:26" ht="59.25" customHeight="1">
      <c r="J15" s="67"/>
    </row>
    <row r="16" spans="1:26" ht="51" customHeight="1">
      <c r="J16" s="66"/>
    </row>
    <row r="17" spans="10:10" ht="39.75" customHeight="1">
      <c r="J17" s="66"/>
    </row>
    <row r="18" spans="10:10" ht="52.5" customHeight="1">
      <c r="J18" s="66"/>
    </row>
    <row r="19" spans="10:10" ht="12.75" customHeight="1">
      <c r="J19" s="66"/>
    </row>
    <row r="20" spans="10:10" ht="12.75" customHeight="1">
      <c r="J20" s="67"/>
    </row>
    <row r="21" spans="10:10" ht="12.75" customHeight="1">
      <c r="J21" s="66"/>
    </row>
    <row r="22" spans="10:10" ht="12.75" customHeight="1">
      <c r="J22" s="66"/>
    </row>
    <row r="23" spans="10:10" ht="12.75" customHeight="1">
      <c r="J23" s="66"/>
    </row>
    <row r="24" spans="10:10" ht="12.75" customHeight="1">
      <c r="J24" s="66"/>
    </row>
    <row r="25" spans="10:10" ht="12.75" customHeight="1"/>
    <row r="26" spans="10:10" ht="12.75" customHeight="1"/>
    <row r="27" spans="10:10" ht="12.75" customHeight="1"/>
    <row r="28" spans="10:10" ht="12.75" customHeight="1"/>
    <row r="29" spans="10:10" ht="12.75" customHeight="1"/>
    <row r="30" spans="10:10" ht="12.75" customHeight="1"/>
    <row r="31" spans="10:10" ht="12.75" customHeight="1"/>
    <row r="32" spans="10: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H2"/>
    <mergeCell ref="A5:J5"/>
  </mergeCells>
  <hyperlinks>
    <hyperlink ref="C9" r:id="rId1" xr:uid="{00000000-0004-0000-0B00-000000000000}"/>
    <hyperlink ref="C10" r:id="rId2" xr:uid="{00000000-0004-0000-0B00-000001000000}"/>
    <hyperlink ref="C8" r:id="rId3" xr:uid="{540F6593-286A-488D-B4F0-B287250E09AE}"/>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topLeftCell="A7" workbookViewId="0">
      <selection activeCell="H9" sqref="H9"/>
    </sheetView>
  </sheetViews>
  <sheetFormatPr baseColWidth="10" defaultColWidth="12.5703125" defaultRowHeight="15" customHeight="1"/>
  <cols>
    <col min="1" max="3" width="19.140625" customWidth="1"/>
    <col min="4" max="4" width="21.85546875" customWidth="1"/>
    <col min="5" max="6" width="17" customWidth="1"/>
    <col min="7" max="7" width="21" customWidth="1"/>
    <col min="8" max="8" width="17" customWidth="1"/>
    <col min="9" max="10" width="19.140625" customWidth="1"/>
    <col min="11" max="26" width="10" customWidth="1"/>
  </cols>
  <sheetData>
    <row r="1" spans="1:26" ht="12.75" customHeight="1">
      <c r="A1" s="1"/>
    </row>
    <row r="2" spans="1:26" ht="27.75" customHeight="1">
      <c r="D2" s="119" t="s">
        <v>0</v>
      </c>
      <c r="E2" s="120"/>
      <c r="F2" s="120"/>
      <c r="G2" s="120"/>
      <c r="H2" s="120"/>
    </row>
    <row r="3" spans="1:26" ht="12.75" customHeight="1"/>
    <row r="4" spans="1:26" ht="12.75" customHeight="1"/>
    <row r="5" spans="1:26" ht="43.5" customHeight="1">
      <c r="A5" s="121" t="s">
        <v>1</v>
      </c>
      <c r="B5" s="122"/>
      <c r="C5" s="122"/>
      <c r="D5" s="122"/>
      <c r="E5" s="122"/>
      <c r="F5" s="122"/>
      <c r="G5" s="122"/>
      <c r="H5" s="122"/>
      <c r="I5" s="122"/>
      <c r="J5" s="123"/>
    </row>
    <row r="6" spans="1:26" ht="15.75" customHeight="1"/>
    <row r="7" spans="1:26" ht="75.75" customHeight="1">
      <c r="A7" s="2" t="s">
        <v>2</v>
      </c>
      <c r="B7" s="3" t="s">
        <v>185</v>
      </c>
      <c r="C7" s="3" t="s">
        <v>186</v>
      </c>
      <c r="D7" s="3" t="s">
        <v>187</v>
      </c>
      <c r="E7" s="68" t="s">
        <v>188</v>
      </c>
      <c r="F7" s="56" t="s">
        <v>189</v>
      </c>
      <c r="G7" s="57" t="s">
        <v>190</v>
      </c>
      <c r="H7" s="8" t="s">
        <v>9</v>
      </c>
      <c r="I7" s="3" t="s">
        <v>191</v>
      </c>
      <c r="J7" s="3" t="s">
        <v>192</v>
      </c>
      <c r="K7" s="9"/>
      <c r="L7" s="9"/>
      <c r="M7" s="9"/>
      <c r="N7" s="9"/>
      <c r="O7" s="9"/>
      <c r="P7" s="9"/>
      <c r="Q7" s="9"/>
      <c r="R7" s="9"/>
      <c r="S7" s="9"/>
      <c r="T7" s="9"/>
      <c r="U7" s="9"/>
      <c r="V7" s="9"/>
      <c r="W7" s="9"/>
      <c r="X7" s="9"/>
      <c r="Y7" s="9"/>
      <c r="Z7" s="9"/>
    </row>
    <row r="8" spans="1:26" ht="59.25" customHeight="1">
      <c r="A8" s="10" t="s">
        <v>38</v>
      </c>
      <c r="B8" s="3" t="s">
        <v>193</v>
      </c>
      <c r="C8" s="58" t="s">
        <v>194</v>
      </c>
      <c r="D8" s="63" t="s">
        <v>168</v>
      </c>
      <c r="E8" s="115">
        <v>4313840</v>
      </c>
      <c r="F8" s="106">
        <f>E8*19%</f>
        <v>819629.6</v>
      </c>
      <c r="G8" s="132">
        <f>E8/444540</f>
        <v>9.7040536284698788</v>
      </c>
      <c r="H8" s="87">
        <f>F8/G8</f>
        <v>84462.6</v>
      </c>
      <c r="I8" s="63" t="s">
        <v>13</v>
      </c>
      <c r="J8" s="64" t="s">
        <v>195</v>
      </c>
    </row>
    <row r="9" spans="1:26" ht="59.25" customHeight="1">
      <c r="A9" s="10" t="s">
        <v>14</v>
      </c>
      <c r="B9" s="11" t="s">
        <v>196</v>
      </c>
      <c r="C9" s="58" t="s">
        <v>197</v>
      </c>
      <c r="D9" s="63" t="s">
        <v>168</v>
      </c>
      <c r="E9" s="116">
        <v>16724770</v>
      </c>
      <c r="F9" s="117">
        <f>E9*19%</f>
        <v>3177706.3</v>
      </c>
      <c r="G9" s="132">
        <f t="shared" ref="G9:G10" si="0">E9/444540</f>
        <v>37.622643631619205</v>
      </c>
      <c r="H9" s="87">
        <f t="shared" ref="H9:H10" si="1">F9/G9</f>
        <v>84462.599999999991</v>
      </c>
      <c r="I9" s="63" t="s">
        <v>13</v>
      </c>
      <c r="J9" s="22" t="s">
        <v>248</v>
      </c>
    </row>
    <row r="10" spans="1:26" ht="57.75" customHeight="1">
      <c r="A10" s="10" t="s">
        <v>16</v>
      </c>
      <c r="B10" s="23" t="s">
        <v>158</v>
      </c>
      <c r="C10" s="58" t="s">
        <v>198</v>
      </c>
      <c r="D10" s="63" t="s">
        <v>168</v>
      </c>
      <c r="E10" s="118">
        <v>1790</v>
      </c>
      <c r="F10" s="117">
        <f>E10*19%</f>
        <v>340.1</v>
      </c>
      <c r="G10" s="132">
        <f t="shared" si="0"/>
        <v>4.0266342736311692E-3</v>
      </c>
      <c r="H10" s="87">
        <f t="shared" si="1"/>
        <v>84462.6</v>
      </c>
      <c r="I10" s="63" t="s">
        <v>13</v>
      </c>
      <c r="J10" s="65" t="s">
        <v>199</v>
      </c>
    </row>
    <row r="11" spans="1:26" ht="15" hidden="1" customHeight="1">
      <c r="D11" s="63" t="s">
        <v>168</v>
      </c>
      <c r="J11" s="66" t="s">
        <v>131</v>
      </c>
    </row>
    <row r="12" spans="1:26" ht="36.75" customHeight="1">
      <c r="J12" s="66"/>
    </row>
    <row r="13" spans="1:26" ht="47.25" customHeight="1">
      <c r="J13" s="66"/>
    </row>
    <row r="14" spans="1:26" ht="76.5" customHeight="1">
      <c r="J14" s="66"/>
    </row>
    <row r="15" spans="1:26" ht="59.25" customHeight="1">
      <c r="J15" s="67"/>
    </row>
    <row r="16" spans="1:26" ht="51" customHeight="1">
      <c r="J16" s="66"/>
    </row>
    <row r="17" spans="10:10" ht="39.75" customHeight="1">
      <c r="J17" s="66"/>
    </row>
    <row r="18" spans="10:10" ht="52.5" customHeight="1">
      <c r="J18" s="66"/>
    </row>
    <row r="19" spans="10:10" ht="12.75" customHeight="1">
      <c r="J19" s="66"/>
    </row>
    <row r="20" spans="10:10" ht="12.75" customHeight="1">
      <c r="J20" s="67"/>
    </row>
    <row r="21" spans="10:10" ht="12.75" customHeight="1">
      <c r="J21" s="66"/>
    </row>
    <row r="22" spans="10:10" ht="12.75" customHeight="1">
      <c r="J22" s="66"/>
    </row>
    <row r="23" spans="10:10" ht="12.75" customHeight="1">
      <c r="J23" s="66"/>
    </row>
    <row r="24" spans="10:10" ht="12.75" customHeight="1">
      <c r="J24" s="66"/>
    </row>
    <row r="25" spans="10:10" ht="12.75" customHeight="1"/>
    <row r="26" spans="10:10" ht="12.75" customHeight="1"/>
    <row r="27" spans="10:10" ht="12.75" customHeight="1"/>
    <row r="28" spans="10:10" ht="12.75" customHeight="1"/>
    <row r="29" spans="10:10" ht="12.75" customHeight="1"/>
    <row r="30" spans="10:10" ht="12.75" customHeight="1"/>
    <row r="31" spans="10:10" ht="12.75" customHeight="1"/>
    <row r="32" spans="10: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spans="2:11" ht="12.75" customHeight="1"/>
    <row r="50" spans="2:11" ht="12.75" customHeight="1"/>
    <row r="51" spans="2:11" ht="12.75" customHeight="1"/>
    <row r="52" spans="2:11" ht="12.75" customHeight="1"/>
    <row r="53" spans="2:11" ht="12.75" customHeight="1">
      <c r="B53" s="29"/>
      <c r="C53" s="30"/>
      <c r="D53" s="31"/>
      <c r="E53" s="31"/>
      <c r="F53" s="32"/>
      <c r="G53" s="33"/>
      <c r="H53" s="33"/>
      <c r="I53" s="34"/>
      <c r="J53" s="35"/>
      <c r="K53" s="31"/>
    </row>
    <row r="54" spans="2:11" ht="12.75" customHeight="1">
      <c r="B54" s="29"/>
      <c r="C54" s="36"/>
      <c r="D54" s="31"/>
      <c r="E54" s="31"/>
      <c r="F54" s="31"/>
      <c r="G54" s="31"/>
      <c r="H54" s="31"/>
      <c r="I54" s="31"/>
      <c r="J54" s="31"/>
      <c r="K54" s="31"/>
    </row>
    <row r="55" spans="2:11" ht="12.75" customHeight="1">
      <c r="B55" s="29"/>
      <c r="C55" s="29"/>
      <c r="D55" s="37"/>
      <c r="E55" s="37"/>
      <c r="F55" s="38"/>
      <c r="G55" s="38"/>
      <c r="H55" s="39"/>
      <c r="I55" s="40"/>
      <c r="J55" s="40"/>
      <c r="K55" s="41"/>
    </row>
    <row r="56" spans="2:11" ht="12.75" customHeight="1">
      <c r="B56" s="29"/>
      <c r="C56" s="29"/>
      <c r="D56" s="37"/>
      <c r="E56" s="42"/>
      <c r="F56" s="43"/>
      <c r="G56" s="43"/>
      <c r="H56" s="43"/>
      <c r="I56" s="42"/>
      <c r="J56" s="42"/>
      <c r="K56" s="37"/>
    </row>
    <row r="57" spans="2:11" ht="12.75" customHeight="1">
      <c r="B57" s="29"/>
      <c r="C57" s="29"/>
      <c r="D57" s="44"/>
      <c r="E57" s="44"/>
      <c r="F57" s="45"/>
      <c r="G57" s="45"/>
      <c r="H57" s="45"/>
      <c r="I57" s="46"/>
      <c r="J57" s="40"/>
      <c r="K57" s="47"/>
    </row>
    <row r="58" spans="2:11" ht="12.75" customHeight="1">
      <c r="B58" s="29"/>
      <c r="C58" s="29"/>
      <c r="D58" s="37"/>
      <c r="E58" s="48"/>
      <c r="F58" s="49"/>
      <c r="G58" s="40"/>
      <c r="H58" s="50"/>
      <c r="I58" s="38"/>
      <c r="J58" s="40"/>
      <c r="K58" s="37"/>
    </row>
    <row r="59" spans="2:11" ht="12.75" customHeight="1">
      <c r="B59" s="29"/>
      <c r="C59" s="29"/>
      <c r="D59" s="37"/>
      <c r="E59" s="51"/>
      <c r="F59" s="50"/>
      <c r="G59" s="49"/>
      <c r="H59" s="49"/>
      <c r="I59" s="41"/>
      <c r="J59" s="40"/>
      <c r="K59" s="41"/>
    </row>
    <row r="60" spans="2:11" ht="12.75" customHeight="1">
      <c r="B60" s="29"/>
      <c r="C60" s="29"/>
      <c r="D60" s="37"/>
      <c r="E60" s="51"/>
      <c r="F60" s="50"/>
      <c r="G60" s="49"/>
      <c r="H60" s="49"/>
      <c r="I60" s="41"/>
      <c r="J60" s="40"/>
      <c r="K60" s="52"/>
    </row>
    <row r="61" spans="2:11" ht="12.75" customHeight="1">
      <c r="B61" s="29"/>
      <c r="C61" s="29"/>
      <c r="D61" s="37"/>
      <c r="E61" s="44"/>
      <c r="F61" s="50"/>
      <c r="G61" s="49"/>
      <c r="H61" s="49"/>
      <c r="I61" s="41"/>
      <c r="J61" s="40"/>
      <c r="K61" s="53"/>
    </row>
    <row r="62" spans="2:11" ht="12.75" customHeight="1"/>
    <row r="63" spans="2:11" ht="12.75" customHeight="1"/>
    <row r="64" spans="2: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H2"/>
    <mergeCell ref="A5:J5"/>
  </mergeCells>
  <hyperlinks>
    <hyperlink ref="C8" r:id="rId1" xr:uid="{00000000-0004-0000-0C00-000000000000}"/>
    <hyperlink ref="C9" r:id="rId2" xr:uid="{00000000-0004-0000-0C00-000001000000}"/>
    <hyperlink ref="C10" r:id="rId3" xr:uid="{00000000-0004-0000-0C00-000002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Servidor Local</vt:lpstr>
      <vt:lpstr>Equipo admin</vt:lpstr>
      <vt:lpstr>Equipo programador</vt:lpstr>
      <vt:lpstr>Equipo empleados</vt:lpstr>
      <vt:lpstr>Pantalla</vt:lpstr>
      <vt:lpstr>Mouse</vt:lpstr>
      <vt:lpstr>Teclado</vt:lpstr>
      <vt:lpstr>Dominio</vt:lpstr>
      <vt:lpstr>Licencias Microsoft</vt:lpstr>
      <vt:lpstr>Licencias de Windows</vt:lpstr>
      <vt:lpstr>Windows Server</vt:lpstr>
      <vt:lpstr>Visual Studio</vt:lpstr>
      <vt:lpstr>Bases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DAVID BENAVIDES</cp:lastModifiedBy>
  <dcterms:created xsi:type="dcterms:W3CDTF">2010-11-08T17:12:41Z</dcterms:created>
  <dcterms:modified xsi:type="dcterms:W3CDTF">2025-12-03T22:38:08Z</dcterms:modified>
</cp:coreProperties>
</file>